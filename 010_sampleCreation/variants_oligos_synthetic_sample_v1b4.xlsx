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bjorh/Library/CloudStorage/GoogleDrive-asholmgren@gmail.com/.shortcut-targets-by-id/1Uj5I8p0mAm1hUWolYPAnERuP06NzjAJE/proj_force_mosaic/000_doc/050_syntheticSample/020_sampleDocumentation/"/>
    </mc:Choice>
  </mc:AlternateContent>
  <xr:revisionPtr revIDLastSave="0" documentId="13_ncr:1_{10E83C15-8CF5-FC4C-9855-385DB140A163}" xr6:coauthVersionLast="36" xr6:coauthVersionMax="47" xr10:uidLastSave="{00000000-0000-0000-0000-000000000000}"/>
  <bookViews>
    <workbookView xWindow="0" yWindow="500" windowWidth="28800" windowHeight="17500" activeTab="3" xr2:uid="{5EECDAF2-FF9A-0440-83AF-6D857F0382CD}"/>
  </bookViews>
  <sheets>
    <sheet name="synthetic_sample_mix" sheetId="2" r:id="rId1"/>
    <sheet name="oligo_sequences" sheetId="1" r:id="rId2"/>
    <sheet name="xGen_design_v3" sheetId="4" r:id="rId3"/>
    <sheet name="vcf_vaf" sheetId="5" r:id="rId4"/>
  </sheets>
  <definedNames>
    <definedName name="_xlnm._FilterDatabase" localSheetId="0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2" l="1"/>
  <c r="P9" i="2"/>
  <c r="Q9" i="2" s="1"/>
  <c r="P8" i="2"/>
  <c r="Q8" i="2" s="1"/>
  <c r="P7" i="2"/>
  <c r="Q7" i="2" s="1"/>
  <c r="P6" i="2"/>
  <c r="Q6" i="2" s="1"/>
  <c r="P11" i="2"/>
  <c r="Q11" i="2" s="1"/>
  <c r="P14" i="2"/>
  <c r="Q14" i="2" s="1"/>
  <c r="P2" i="2"/>
  <c r="Q2" i="2" s="1"/>
  <c r="P4" i="2"/>
  <c r="Q4" i="2" s="1"/>
  <c r="P12" i="2"/>
  <c r="Q12" i="2" s="1"/>
  <c r="P5" i="2"/>
  <c r="Q5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3" i="2"/>
  <c r="Q3" i="2" s="1"/>
  <c r="P13" i="2"/>
  <c r="Q13" i="2" s="1"/>
  <c r="P22" i="2"/>
  <c r="Q22" i="2" s="1"/>
  <c r="Q23" i="2"/>
  <c r="P10" i="2"/>
  <c r="Q10" i="2" s="1"/>
  <c r="L7" i="2"/>
  <c r="L6" i="2"/>
  <c r="L14" i="2"/>
  <c r="L2" i="2"/>
  <c r="L4" i="2"/>
  <c r="L12" i="2"/>
  <c r="L5" i="2"/>
  <c r="L15" i="2"/>
  <c r="L16" i="2"/>
  <c r="L17" i="2"/>
  <c r="L18" i="2"/>
  <c r="L19" i="2"/>
  <c r="L20" i="2"/>
  <c r="L21" i="2"/>
  <c r="L3" i="2"/>
  <c r="L13" i="2"/>
  <c r="L22" i="2"/>
  <c r="L23" i="2"/>
  <c r="R26" i="2"/>
  <c r="R24" i="2" s="1"/>
  <c r="K11" i="2"/>
  <c r="L11" i="2" s="1"/>
  <c r="K8" i="2"/>
  <c r="L8" i="2" s="1"/>
  <c r="K9" i="2"/>
  <c r="L9" i="2" s="1"/>
  <c r="K10" i="2"/>
  <c r="L10" i="2" s="1"/>
  <c r="R19" i="2" l="1"/>
  <c r="R18" i="2"/>
  <c r="R17" i="2"/>
  <c r="R21" i="2"/>
  <c r="R16" i="2"/>
  <c r="R3" i="2"/>
  <c r="R2" i="2"/>
  <c r="R4" i="2"/>
  <c r="R22" i="2"/>
  <c r="R12" i="2"/>
  <c r="R6" i="2"/>
  <c r="R14" i="2"/>
  <c r="R23" i="2"/>
  <c r="R9" i="2"/>
  <c r="R10" i="2"/>
  <c r="R13" i="2"/>
  <c r="R11" i="2"/>
  <c r="R15" i="2"/>
  <c r="R7" i="2"/>
  <c r="R20" i="2"/>
  <c r="R5" i="2"/>
  <c r="R8" i="2"/>
  <c r="R2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Asbjørn Holmgren</author>
  </authors>
  <commentList>
    <comment ref="B1" authorId="0" shapeId="0" xr:uid="{8D12B4ED-E818-B145-9AD0-31AEA3574046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hg19</t>
        </r>
      </text>
    </comment>
    <comment ref="K1" authorId="0" shapeId="0" xr:uid="{7C2DFEBF-8FD5-A145-B95D-B7533E0BFD2E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 measured in the ddPCR reaction
</t>
        </r>
      </text>
    </comment>
    <comment ref="L1" authorId="0" shapeId="0" xr:uid="{6519696C-151B-DA44-BCCD-9A8F379BF79D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ddPCR reaction is 5 µl sample per 22 </t>
        </r>
        <r>
          <rPr>
            <sz val="10"/>
            <color rgb="FF000000"/>
            <rFont val="Calibri"/>
            <family val="2"/>
            <scheme val="minor"/>
          </rPr>
          <t>µl</t>
        </r>
        <r>
          <rPr>
            <sz val="10"/>
            <color rgb="FF000000"/>
            <rFont val="Calibri"/>
            <family val="2"/>
            <scheme val="minor"/>
          </rPr>
          <t xml:space="preserve"> reaction, hence stock concentration is 22/5 *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  <r>
          <rPr>
            <sz val="10"/>
            <color rgb="FF000000"/>
            <rFont val="Calibri"/>
            <family val="2"/>
            <scheme val="minor"/>
          </rPr>
          <t>ddPCR reaction</t>
        </r>
      </text>
    </comment>
    <comment ref="N1" authorId="0" shapeId="0" xr:uid="{5162DE5A-2FC4-364B-829A-25079C7FBE74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Which dilution tube was used
</t>
        </r>
      </text>
    </comment>
    <comment ref="O1" authorId="0" shapeId="0" xr:uid="{213DE6F8-3414-E543-87EF-4E98EB9135BC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Goal percentage of oligo in the synthetic sample</t>
        </r>
      </text>
    </comment>
    <comment ref="P1" authorId="0" shapeId="0" xr:uid="{33A75274-C373-DC4D-8F89-B4BA18876D44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Percentage of the </t>
        </r>
        <r>
          <rPr>
            <u/>
            <sz val="10"/>
            <color rgb="FF000000"/>
            <rFont val="Tahoma"/>
            <family val="2"/>
          </rPr>
          <t>fixed</t>
        </r>
        <r>
          <rPr>
            <sz val="10"/>
            <color rgb="FF000000"/>
            <rFont val="Tahoma"/>
            <family val="2"/>
          </rPr>
          <t xml:space="preserve"> wt copy number 
</t>
        </r>
      </text>
    </comment>
    <comment ref="Q1" authorId="0" shapeId="0" xr:uid="{282723B7-88DB-5249-9214-8482819378AB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Expected total amount in the ddPCR reaction</t>
        </r>
      </text>
    </comment>
    <comment ref="R1" authorId="0" shapeId="0" xr:uid="{894F6C65-BD4D-8D41-A582-3F4B926BB6DB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Volume to add into synthetic sample	
</t>
        </r>
      </text>
    </comment>
    <comment ref="F23" authorId="0" shapeId="0" xr:uid="{BBF300B4-362A-5147-82A4-97DBCAB72A99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Genome in a Bottle human genome sample GM24385 (HG002), chosen since it is often used for in-house benchmarking</t>
        </r>
      </text>
    </comment>
    <comment ref="K23" authorId="0" shapeId="0" xr:uid="{D6FCCC65-EE4B-0345-8B52-E4716EF5B0B8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number is the average of the wildtype measure from 5 different assays </t>
        </r>
      </text>
    </comment>
    <comment ref="P23" authorId="0" shapeId="0" xr:uid="{02D45B09-60E5-6D45-80D8-FE511ED9BA87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Fixed number of wt copies</t>
        </r>
      </text>
    </comment>
    <comment ref="F24" authorId="0" shapeId="0" xr:uid="{F7E3D70B-584C-4441-86B7-396AD804A21B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Added to prevent adsorption of lowly concentrated DNA, which would otherwise cause too low concentration</t>
        </r>
      </text>
    </comment>
    <comment ref="L24" authorId="0" shapeId="0" xr:uid="{BE3B674B-A897-DC45-9A20-4B11687E7418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yeast tRNA 10 mg/ml (ThermoFisher)</t>
        </r>
      </text>
    </comment>
    <comment ref="R24" authorId="0" shapeId="0" xr:uid="{85914ADD-0A74-784D-804B-368B0AA7D47D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Recommendation is 10ng/µl tRNA</t>
        </r>
      </text>
    </comment>
    <comment ref="R26" authorId="0" shapeId="0" xr:uid="{B18B7221-1961-1849-BF20-831FCB0C689C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Total volume fixed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Asbjørn Holmgren</author>
  </authors>
  <commentList>
    <comment ref="B1" authorId="0" shapeId="0" xr:uid="{8C974510-6ACB-9D45-A067-39FED1FA56F8}">
      <text>
        <r>
          <rPr>
            <b/>
            <sz val="10"/>
            <color rgb="FF000000"/>
            <rFont val="Tahoma"/>
            <family val="2"/>
          </rPr>
          <t>Asbjørn Holmgren: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hg19</t>
        </r>
      </text>
    </comment>
  </commentList>
</comments>
</file>

<file path=xl/sharedStrings.xml><?xml version="1.0" encoding="utf-8"?>
<sst xmlns="http://schemas.openxmlformats.org/spreadsheetml/2006/main" count="723" uniqueCount="334">
  <si>
    <t>Gene</t>
  </si>
  <si>
    <t>Variant</t>
  </si>
  <si>
    <t>Source</t>
  </si>
  <si>
    <t>position_hg19</t>
  </si>
  <si>
    <t>diag</t>
  </si>
  <si>
    <t>PIK3CA</t>
  </si>
  <si>
    <t>c.3140A&gt;G</t>
  </si>
  <si>
    <t>3:178952085</t>
  </si>
  <si>
    <t>c.1634A&gt;G</t>
  </si>
  <si>
    <t>3:178936092</t>
  </si>
  <si>
    <t>conc</t>
  </si>
  <si>
    <t>oligo_seq</t>
  </si>
  <si>
    <r>
      <t>GTTTACATTCTAGTGGGGTAAAGGGAATCAAAAGATGTTGGTAAGAGAAGTGAGAGAGGAATGCTATTTTTTTATAGCTTTGTCTACGAAAGCCTCTCTAATTTTGTGACATTTGAGCAAAGACCTGAAGGTATTAACATCATTTGCTCCAAACTGACCAAACTGTTCTTATTACTTATAGGTTTCAGGAGATGTGTTACAAGGCTTATCTAGCTATTCGACAGCATGCCAATCTCTTCATAAATCTTTTCTCAATGATGCTTGGCTCTGGAATGCCAGAACTACAATCTTTTGATGACATTGCATACATTCGAAAGACCCTAGCCTTAGATAAAACTGAGCAAGAGGCTTTGGAGTATTTCATGAAACAAATGAATGATGCAC</t>
    </r>
    <r>
      <rPr>
        <sz val="11"/>
        <color rgb="FFFF0000"/>
        <rFont val="Calibri"/>
        <family val="2"/>
        <scheme val="minor"/>
      </rPr>
      <t>G</t>
    </r>
    <r>
      <rPr>
        <sz val="12"/>
        <color theme="1"/>
        <rFont val="Calibri"/>
        <family val="2"/>
        <scheme val="minor"/>
      </rPr>
      <t>TCATGGTGGCTGGACAACAAAAATGGATTGGATCTTCCACACAATTAAACAGCATGCATTGAACTGAAAAGATAACTGAGAAAATGAAAGCTCACTCTGGATTCCACACTGCACTGTTAATAACTCTCAGCAGGCAAAGACCGATTGCATAGGAATTGCACAATCCATGAACAGCATTAGAATTTACAGCAAGAACAGAAATAAAATACTATATAATTTAAATAATGTAAACGCAAACAGGGTTTGATAGCACTTAAACTAGTTCATTTCAAAATTAAGCTTTAGAATAATGCGCAATTTCATGTTATGCCTTAAGTCCAAAAAGGTAAACTTTGAAGATTGTTTGTATCTTTTTTTAAAAAACA</t>
    </r>
  </si>
  <si>
    <r>
      <t>TCAGGAGGAAAAGTAAATTGTTCACTACCATCCTCTAGTATCCTAATCTGGTCTTGTTGTTGGCTAACTTCAGCAGTTACTATTCTGTGACTGGTGTAATATTAACCAAATAAATTACTGGATTTGTTCTACAAATATTATGTCTTAGATTGGTTCTTTCCTGTCTCTGAAAATAAAGTCTTGCAATGAAAATAAATTATTTTACAACAGTTAATTAGCAATGTAAAATTTATTGAAAATGTATTTGCTTTTTCTGTAAATCATCTGTGAATCCAGAGGGGAAAAATATGACAAAGAAAGCTATATAAGATATTATTTTATTTTACAGAGTAACAGACTAGCTAGAGACAATGAATTAAGGGAAAATGACAAAGAACAGCTCAAAGCAATTTCTACACGAGATCCTCTCTCT</t>
    </r>
    <r>
      <rPr>
        <sz val="11"/>
        <color rgb="FFFF0000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AAATCACTGAGCAGGAGAAAGATTTTCTATGGAGTCACAGGTAAGTGCTAAAATGGAGATTCTCTGTTTCTTTTTCTTTATTACAGAAAAAATAACTGAATTTGGCTGATCTCAGCATGTTTTTACCATACCTATTGGAATAAATAAAGCAGAATTTACATGATTTTTAAACTATAAACATTGCCTTTTTAAAAACAATGGTTGTAAATTGATATTTGTGGAAAATCATACTACATTGGTAGTTGGCACATTAAATGCTTTTTCTTACTCTGAATTCCTGATATGACTTTCTTTAGGATTGTTTAAAATATTCTAGTAGTTTTAGGTCAATTTAGA</t>
    </r>
  </si>
  <si>
    <t>c.1624G&gt;A</t>
  </si>
  <si>
    <t>3:178936082</t>
  </si>
  <si>
    <t>NRAS</t>
  </si>
  <si>
    <t>c.182T&gt;C</t>
  </si>
  <si>
    <t>1:115256529</t>
  </si>
  <si>
    <r>
      <t>AGTCATTCCCAGTAGCAAGCTTCACTTATGTATTATCAAACTTTATAGTAACAGTATATTATGTAAAATAAATTCCAGTATTAACTTTCAGTAATTACCCTAGATTCTCAATGTCAAACAACCTAAAACCAACTCTTCCCATAATTAAAAAGCTCTATCTTCCCTAGTGTGGTAACCTCATTTCCCCATAAAGATTCAGAACACAAAGATCATCCTTTCAGAGAAAATAATGCTCCTAGTACCTGTAGAGGTTAATATCCGCAAATGACTTGCTATTATTGATGGCAAATACACAGAGGAAGCCTTCGCCTGTCCTCATGTATTGGTCTCTCATGGCACTGTACTCTTCT</t>
    </r>
    <r>
      <rPr>
        <sz val="11"/>
        <color rgb="FFFF0000"/>
        <rFont val="Calibri"/>
        <family val="2"/>
        <scheme val="minor"/>
      </rPr>
      <t>C</t>
    </r>
    <r>
      <rPr>
        <sz val="12"/>
        <color theme="1"/>
        <rFont val="Calibri"/>
        <family val="2"/>
        <scheme val="minor"/>
      </rPr>
      <t>GTCCAGCTGTATCCAGTATGTCCAACAAACAGGTTTCACCATCTATAACCACTTGTTTTCTGTAAGAATCCTGGGGGTGTGGAGGGTAAGGGGGCAGGGAGGGAGGGAAGTTCAATTTTTATTAAAAACCACAGGGAATGCAATGCTATTGCCAAGGTTAAATAAGCATCTAACTATTCAAGCCCATTTCTGCCTATCTGGTTTGTCCCTCAAATTGCTAATATATAATCACAAACAAAAAGTATCCAATATCACCCTACATAAAAGAAAACCCACCAAATTCTATATGCCTGCAGAAAAGAAATATGGTCACTGTGTTCCTGGAAAAGATTAAGAAAACACAGTAACTC</t>
    </r>
  </si>
  <si>
    <t>MTOR</t>
  </si>
  <si>
    <t>IDH1</t>
  </si>
  <si>
    <t>c.394C&gt;T</t>
  </si>
  <si>
    <t>2:209113113</t>
  </si>
  <si>
    <r>
      <t>CGTGATGCCACCAACGACCAAGTCACCAAGGATGCTGCAGAAGCTATAAAGAAGCATAATGTTGGCGTCAAATGTGCCACTATCACTCCTGATGAGAAGAGGGTTGAGGAGTTCAAGTTGAAACAAATGTGGAAATCACCAAATGGCACCATACGAAATATTCTGGGTGGCACGGTCTTCAGAGAAGCCATTATCTGCAAAAATATCCCCCGGCTTGTGAGTGGATGGGTAAAACCTATCATCATAGGT</t>
    </r>
    <r>
      <rPr>
        <sz val="11"/>
        <color rgb="FFFF0000"/>
        <rFont val="Calibri"/>
        <family val="2"/>
        <scheme val="minor"/>
      </rPr>
      <t>t</t>
    </r>
    <r>
      <rPr>
        <sz val="12"/>
        <color theme="1"/>
        <rFont val="Calibri"/>
        <family val="2"/>
        <scheme val="minor"/>
      </rPr>
      <t>GTCATGCTTATGGGGATCAAGTAAGTCATGTTGGCAATAATGTGATTTTGCATGTTTTTTTTTTCATGGCCCAGAAATTTCCAACTTGTATGTGTTTTATTCTTATCTTTTGGTATCTACACCCATTAAGCAAGGTATGAAATTGAGAAATGCATATATGTATAACTGTATATTTACACACATTTAGCTAAAGGCAAATACAAATAAACTTACAAATAGGCGTCCATCTCAACACATTTTTTTTCAAACA</t>
    </r>
  </si>
  <si>
    <t>c.1633G&gt;A</t>
  </si>
  <si>
    <t>3:178936091</t>
  </si>
  <si>
    <r>
      <t>TCAGGAGGAAAAGTAAATTGTTCACTACCATCCTCTAGTATCCTAATCTGGTCTTGTTGTTGGCTAACTTCAGCAGTTACTATTCTGTGACTGGTGTAATATTAACCAAATAAATTACTGGATTTGTTCTACAAATATTATGTCTTAGATTGGTTCTTTCCTGTCTCTGAAAATAAAGTCTTGCAATGAAAATAAATTATTTTACAACAGTTAATTAGCAATGTAAAATTTATTGAAAATGTATTTGCTTTTTCTGTAAATCATCTGTGAATCCAGAGGGGAAAAATATGACAAAGAAAGCTATATAAGATATTATTTTATTTTACAGAGTAACAGACTAGCTAGAGACAATGAATTAAGGGAAAATGACAAAGAACAGCTCAAAGCAATTTCTACACGAGATCCTCTCTCTGAAATCACT</t>
    </r>
    <r>
      <rPr>
        <sz val="11"/>
        <color rgb="FFFF0000"/>
        <rFont val="Calibri"/>
        <family val="2"/>
        <scheme val="minor"/>
      </rPr>
      <t>A</t>
    </r>
    <r>
      <rPr>
        <sz val="11"/>
        <rFont val="Calibri"/>
        <family val="2"/>
        <scheme val="minor"/>
      </rPr>
      <t>AG</t>
    </r>
    <r>
      <rPr>
        <sz val="12"/>
        <color theme="1"/>
        <rFont val="Calibri"/>
        <family val="2"/>
        <scheme val="minor"/>
      </rPr>
      <t>CAGGAGAAAGATTTTCTATGGAGTCACAGGTAAGTGCTAAAATGGAGATTCTCTGTTTCTTTTTCTTTATTACAGAAAAAATAACTGAATTTGGCTGATCTCAGCATGTTTTTACCATACCTATTGGAATAAATAAAGCAGAATTTACATGATTTTTAAACTATAAACATTGCCTTTTTAAAAACAATGGTTGTAAATTGATATTTGTGGAAAATCATACTACATTGGTAGTTGGCACATTAAATGCTTTTTCTTACTCTGAATTCCTGATATGACTTTCTTTAGGATTGTTTAAAATATTCTAGTAGTTTTAGGTCAATTTAGA</t>
    </r>
  </si>
  <si>
    <r>
      <t>TCAGGAGGAAAAGTAAATTGTTCACTACCATCCTCTAGTATCCTAATCTGGTCTTGTTGTTGGCTAACTTCAGCAGTTACTATTCTGTGACTGGTGTAATATTAACCAAATAAATTACTGGATTTGTTCTACAAATATTATGTCTTAGATTGGTTCTTTCCTGTCTCTGAAAATAAAGTCTTGCAATGAAAATAAATTATTTTACAACAGTTAATTAGCAATGTAAAATTTATTGAAAATGTATTTGCTTTTTCTGTAAATCATCTGTGAATCCAGAGGGGAAAAATATGACAAAGAAAGCTATATAAGATATTATTTTATTTTACAGAGTAACAGACTAGCTAGAGACAATGAATTAAGGGAAAATGACAAAGAACAGCTCAAAGCAATTTCTACACGAGATCCTCTCTCTGAAATCACT</t>
    </r>
    <r>
      <rPr>
        <sz val="11"/>
        <rFont val="Calibri"/>
        <family val="2"/>
        <scheme val="minor"/>
      </rPr>
      <t>G</t>
    </r>
    <r>
      <rPr>
        <sz val="11"/>
        <color rgb="FFFF0000"/>
        <rFont val="Calibri"/>
        <family val="2"/>
        <scheme val="minor"/>
      </rPr>
      <t>G</t>
    </r>
    <r>
      <rPr>
        <sz val="11"/>
        <rFont val="Calibri"/>
        <family val="2"/>
        <scheme val="minor"/>
      </rPr>
      <t>G</t>
    </r>
    <r>
      <rPr>
        <sz val="12"/>
        <color theme="1"/>
        <rFont val="Calibri"/>
        <family val="2"/>
        <scheme val="minor"/>
      </rPr>
      <t>CAGGAGAAAGATTTTCTATGGAGTCACAGGTAAGTGCTAAAATGGAGATTCTCTGTTTCTTTTTCTTTATTACAGAAAAAATAACTGAATTTGGCTGATCTCAGCATGTTTTTACCATACCTATTGGAATAAATAAAGCAGAATTTACATGATTTTTAAACTATAAACATTGCCTTTTTAAAAACAATGGTTGTAAATTGATATTTGTGGAAAATCATACTACATTGGTAGTTGGCACATTAAATGCTTTTTCTTACTCTGAATTCCTGATATGACTTTCTTTAGGATTGTTTAAAATATTCTAGTAGTTTTAGGTCAATTTAGA</t>
    </r>
  </si>
  <si>
    <t>c.1258T&gt;C</t>
  </si>
  <si>
    <t>3:178927980</t>
  </si>
  <si>
    <r>
      <t>TTTTTAGATATTCCCATTATTATAGAGATGATTGTTGAATTTTCCTTTTGGGGAAGAAAAGTGTTTTGAAATGTGTTTTATAATTTAGACTAGTGAATATTTTTCTTTGTTTTTTAAGGAACAC</t>
    </r>
    <r>
      <rPr>
        <sz val="11"/>
        <color rgb="FFFF0000"/>
        <rFont val="Calibri"/>
        <family val="2"/>
        <scheme val="minor"/>
      </rPr>
      <t>C</t>
    </r>
    <r>
      <rPr>
        <sz val="12"/>
        <color theme="1"/>
        <rFont val="Calibri"/>
        <family val="2"/>
        <scheme val="minor"/>
      </rPr>
      <t>GTCCATTGGCATGGGGAAATATAAACTTGTTTGATTACACAGACACTCTAGTATCTGGAAAAATGGCTTTGAATCTTTGGCCAGTACCTCATGGATTAGAAGATTTGCTGAACCCTATTGGTGTTACTGGATCAAATCCAAATAAAGTAAGGTTTTTATTGTCATAAATTAGATATTTTTTATGGCAGTCAAACCTTCTCTCTTATGTATATATAATAGCTTTTCTTCCATCTCTTAGGAAACTCCATGCTTAGAGTTGGAGTTTGACTGGTTCAGCAGTGTGGTAAAGTTCCCAGATATGTCAGTGATTGAAGAGCATGCCAATTGGTCTGTATCCCGAGAAGCAGGATTTAGCTATTCCCACGCAGGACTGGTAAGGC</t>
    </r>
  </si>
  <si>
    <t>Probes</t>
  </si>
  <si>
    <t>FAM/VIC</t>
  </si>
  <si>
    <t>p.Phe1888Leu</t>
  </si>
  <si>
    <r>
      <t>ACTCTCTGTAGGTTTCACCCACACAGGTGGGGCCCAGTCAGCTGTTACTC
CTTAAATGCAGTGCAGAAAAAAGGCACATACATCGATCTTGGGTGTCCTG
ATCAGGGTCAGGAAGGGAAAGAGGACTTTTACGTGTGACTTCTAGGTCTT
GCCATTAACATGGCCTACCAGAGTTGCATCCTTCCCTTCTCTGATACCTG
AGTGTATCCTGGAGGTTGTTGCCTCGTGACAAGGAGATGGAACGGAAGA</t>
    </r>
    <r>
      <rPr>
        <sz val="12"/>
        <color rgb="FFFF0000"/>
        <rFont val="Calibri (Body)_x0000_"/>
      </rPr>
      <t>g</t>
    </r>
    <r>
      <rPr>
        <sz val="12"/>
        <color theme="1"/>
        <rFont val="Calibri"/>
        <family val="2"/>
        <scheme val="minor"/>
      </rPr>
      <t xml:space="preserve">
GCCCTGGACGGCAGGCACCGTGTACATCAGGAGGGTTTTGGACAGATCCT
GTTGGAACACACACGTGTTAGCGACACTCTTGCCTCTGCTTTCTCATCTG
TAAAATGGGCATAAGAGCATACTAACTGTACCTACTTCAAAGGGTGGTTA
TAACAATTAAATCGGTTAATGCATGAAAAATCTTTAATCATTACCTGGCA
CATAGCAAAGACTCAATAAATGGCAACTGTATCATAACTGTTATTATCTT</t>
    </r>
  </si>
  <si>
    <t>1:11189847</t>
  </si>
  <si>
    <t>1:144916728</t>
  </si>
  <si>
    <t>2:226447702</t>
  </si>
  <si>
    <t>3:12613838</t>
  </si>
  <si>
    <t>4:79845024</t>
  </si>
  <si>
    <t>3:53777069</t>
  </si>
  <si>
    <t>PDE4DIP</t>
  </si>
  <si>
    <t>NYAP2</t>
  </si>
  <si>
    <t>MKRN2</t>
  </si>
  <si>
    <t>CACNA1D</t>
  </si>
  <si>
    <t>PAQR3</t>
  </si>
  <si>
    <t>c.G2116A</t>
  </si>
  <si>
    <t>c.C1569A</t>
  </si>
  <si>
    <t>c.C479A</t>
  </si>
  <si>
    <t>c.G2843A</t>
  </si>
  <si>
    <t>c.G780T</t>
  </si>
  <si>
    <t>FORCE</t>
  </si>
  <si>
    <t>comment</t>
  </si>
  <si>
    <t>CCCATGAGACATACAAAAAGGTAATGCCGCCTCGCTAGGTGAGCTACAGCTCGATTGTCACGTTAAGCTGGCCTTCAGATTTAACAATCTTAAATCCCACTATTAGATTCATAATAAATTTAGAGTTCAGTAACAGTAGGAAGATCTGTAAAAAAACATGTTCTGCTTTTCAGGACTTTGCACCCCGTGTAATTGTGATGTATATGATTGCTCTTCTTGCTTTCCTATTCTACATTTCCAAAGTCCCAGATCGGTACTTTCCAGGTAGGTATCTCTTTTATAGCAGTTTTGTATTGTTAGTCTAAATATATGCCCAAGGTATATGCATCAGAGCATCAAAACTTAGTTTCATTTTTTAATATTATTGATTATGGAAATGATTCCTCTCTTTCCAAATGTTACCTAAAACTTTCAAAGGGCTTTCACTTTTCCTTTCATCCTGATCATGTGAGTTGAGTCCAGTAGGTGGTGGGTCTCGACTATACGCCCGTTTTCGGATC</t>
  </si>
  <si>
    <t>CCCATGAGACATACAAAAAGGTAATGCCGCCTCGCTAGGTGAGCTACAGCTCGATTGTCACGTTAAGCTGGCCCGCATTCCTACCTGGATGCCATCAGGAGTGGCCTTGATGACGTGGAGGCCAGCAGCTCCTACAGCAACGAGCAGCAGCTGTGCCCCTACGCAGCTGCTGGGGAGTGCCGGTTTGGGGATGCCTGTGTCTACCTGCACGGGGAGGTGTGTGAAATCTGTAGGCTGCAAGTCTTGCACCAATTCGACCCAGAGCAGAGGAAGGCTCATGAAAAGGTAAAGTCACAAACCTTTGCATGAACTCATGTTAAGAAATCTGAAATGTACTGAACAGGACACGGAAGGCCATCCATATACACTCAAGAAATCTGAAATGTACTAAGTGACAGAATTGTTGGTATTTCCACAGGCATCCCCCTGCCAGTAATACCCATATTATGTATCTGGTATATTTACATCCTGGGTCTCGACTATACGCCCGTTTTCGGATC</t>
  </si>
  <si>
    <t>CCCATGAGACATACAAAAAGGTAATGCCGCCTCGCTAGGTGAGCTACAGCTCGATTGTCACGTTAAGCTGGCCCCTCTCAAGGAGCTCTCCTTCAGTGCCTCACTCGACCCCCAGACCCGTGTCGCAAGATGGGGCCAAGATGGTCAACGCCGCGGTGAACACCTACGGGGCAGCCCCGGGTGGCTCCCGGTCCCGGACACCCACGAGCCCGCTGGAGGAGCTGACCAGCCTCTTCTCCTCCGGCCGCAGACTGCTGCGCAAGTCGTCCAGTGGCCGGCGCTCCAAAGAGCCTGCAGAGAGTAAGTGTGCAGGGCCTGCCTGAGCCCCAGAGCCCAGTGCCAGGCTTACAACCAGGGTGAAGCCCATTGTGTGCAGATAACGCACAGAGTACGGGGTCTTGAGGCCTTGGAGTTGAAATCTTAGCATGCAAACAAAATGTGTTAGTTCATTTTTGCCATGCTAAACCAAATGGTCTCGACTATACGCCCGTTTTCGGATC</t>
  </si>
  <si>
    <t>CCCATGAGACATACAAAAAGGTAATGCCGCCTCGCTAGGTGAGCTACAGCTCGATTGTCACGTTAAGCTGGCCTGGCTCAACCCCGTTGGTTTACATTTCTGACTTCTTAATGCACACTTGTTAATGAAGTTATACTTTCCTCAAGATTTTGCAAAGAGCCCAGGTTTCTTTTCCTTTGGAGACAAAAAATGGTAAATCATCCATGATTCTGCTTCTAGATGACAACTTTTGGAGCTTTCCTCCACAAAGAGGCCTTCTGCAGGAACTACTTCAATTTGCTGGATATGCTGGTGGTTGGGGTGTCTCTGGTGTCATTTGGGATTCAGTAAGTATTCTGGGGTGTGTGCCCAGAATTGTTGGGCTGAATGGTTTATGTAAGGGATTTTAACATAATTGATAAAGGCTGGGCATCATTTTCATGATTATATTTAGTTATATAGGTTTATTTAATTTGCTCCCATTCCAGAAAGGGTCTCGACTATACGCCCGTTTTCGGATC</t>
  </si>
  <si>
    <t>CCCATGAGACATACAAAAAGGTAATGCCGCCTCGCTAGGTGAGCTACAGCTCGATTGTCACGTTAAGCTGGCCAAATAGATTAGTATGGCATTGTTAGATCAATGTTCTCATCTTGCAAATAAAAAAAAATTGATGGGAGATTATTTAAAAGTGGATCTAATTTCTTGTTTATCCTGAGGAGTATGGGGTAATCATTTTGACTGATTATTGCTCTCTTTATGGCTGTAGAGTATGGAGAGTCTCCTGAGGACCAAAGGCCTGGAAGTGGAACAGTTATCTACTACCTGTCAAAACCTCCAGTGGCTGAAAGAAGAAATGGAAACCAAATTTAGCCGTTGGCAGAAGGAACAAGAGAGTATCATTCAGCAGTTACAGACGTCTCTTCATGATAGGAACAAAGAAGTGGAGGCAAGACTTCAGTTAACTTTAAGGCAGTTGGTTCAGTGATTATGTAATCTCAGCCTTGGATTGGTCTCGACTATACGCCCGTTTTCGGATC</t>
  </si>
  <si>
    <t>Total</t>
  </si>
  <si>
    <t>p.Ile2500Asn</t>
  </si>
  <si>
    <t>1:11109319</t>
  </si>
  <si>
    <t>1:11184616</t>
  </si>
  <si>
    <t>p.Thr1977Lys</t>
  </si>
  <si>
    <t>p.Cys1483Arg</t>
  </si>
  <si>
    <t>chr1</t>
  </si>
  <si>
    <t>chr2</t>
  </si>
  <si>
    <t>chr3</t>
  </si>
  <si>
    <t>chr4</t>
  </si>
  <si>
    <t>chr6</t>
  </si>
  <si>
    <t>chr7</t>
  </si>
  <si>
    <t>chr12</t>
  </si>
  <si>
    <t>chr15</t>
  </si>
  <si>
    <t>chr16</t>
  </si>
  <si>
    <t>c.1035T&gt;A</t>
  </si>
  <si>
    <t>C_169027171_10</t>
  </si>
  <si>
    <t>3:178921553</t>
  </si>
  <si>
    <t>AKT3</t>
  </si>
  <si>
    <t>p.E17K</t>
  </si>
  <si>
    <t>1:11188164</t>
  </si>
  <si>
    <t>Use the more concentrated S3</t>
  </si>
  <si>
    <t>within pseudogene homology</t>
  </si>
  <si>
    <t>recieved 19.10.25</t>
  </si>
  <si>
    <t>p.E453K</t>
  </si>
  <si>
    <t>Variant_p</t>
  </si>
  <si>
    <t>Variant_c</t>
  </si>
  <si>
    <t>c.1357G&gt;A</t>
  </si>
  <si>
    <t>c.2843G&gt;A</t>
  </si>
  <si>
    <t>c.479C&gt;A</t>
  </si>
  <si>
    <t>c.1569C&gt;A</t>
  </si>
  <si>
    <t>c.780G&gt;T</t>
  </si>
  <si>
    <t>c.2116G&gt;A</t>
  </si>
  <si>
    <t>Have assay</t>
  </si>
  <si>
    <t>freezer</t>
  </si>
  <si>
    <t>fridge 1st floor</t>
  </si>
  <si>
    <t>3:178928079</t>
  </si>
  <si>
    <t>recommend restriction enzyme</t>
  </si>
  <si>
    <t>within pseudogene homology, rs104886003</t>
  </si>
  <si>
    <t>PTPN11</t>
  </si>
  <si>
    <t>AluI</t>
  </si>
  <si>
    <t>HaeIII</t>
  </si>
  <si>
    <t>MseI</t>
  </si>
  <si>
    <t>c.5930C&gt;A</t>
  </si>
  <si>
    <t>c.1519A&gt;G</t>
  </si>
  <si>
    <t>dHsaMDS466836302</t>
  </si>
  <si>
    <t>dHsaMDS600367739</t>
  </si>
  <si>
    <t>c.6644C&gt;T</t>
  </si>
  <si>
    <t>p.S2215P</t>
  </si>
  <si>
    <t>dHsaMDS630034977</t>
  </si>
  <si>
    <t>dHsaMDS693222198</t>
  </si>
  <si>
    <t xml:space="preserve">c.49G&gt;A </t>
  </si>
  <si>
    <t xml:space="preserve">c.7499T&gt;A </t>
  </si>
  <si>
    <t>c.4447T&gt;C</t>
  </si>
  <si>
    <t>c.5662T&gt;C</t>
  </si>
  <si>
    <t>1:11217231</t>
  </si>
  <si>
    <t>1:243859016</t>
  </si>
  <si>
    <t>p.Gly507Arg</t>
  </si>
  <si>
    <t>Cool room</t>
  </si>
  <si>
    <t>fridge S70</t>
  </si>
  <si>
    <t>PIK3CD_9781859.358.t0</t>
  </si>
  <si>
    <t>mTOR_11109319.286.t0</t>
  </si>
  <si>
    <t>mTOR_11169374.1261.t0</t>
  </si>
  <si>
    <t>mTOR_11174395.715.t0</t>
  </si>
  <si>
    <t>mTOR_11184573.591.t0</t>
  </si>
  <si>
    <t>mTOR_11187848.637.t0</t>
  </si>
  <si>
    <t>mTOR_11188164.758.t0</t>
  </si>
  <si>
    <t>mTOR_11189848.427.t0</t>
  </si>
  <si>
    <t>mTOR_11199365.579.t0</t>
  </si>
  <si>
    <t>mTOR_11210197.519.t0</t>
  </si>
  <si>
    <t>mTOR_11217230.1607.t0</t>
  </si>
  <si>
    <t>mTOR_11217303.466.t1</t>
  </si>
  <si>
    <t>mTOR_11298590.980.t0</t>
  </si>
  <si>
    <t>GJA4_35259935.1067.t0</t>
  </si>
  <si>
    <t>NRAS_115252202.1657.t0</t>
  </si>
  <si>
    <t>NRAS_115256528.1218.t0</t>
  </si>
  <si>
    <t>PDE4DIP_144916728.785.t0</t>
  </si>
  <si>
    <t>NES_156642812.1317.t0</t>
  </si>
  <si>
    <t>AKT3_243668598.1033.t0</t>
  </si>
  <si>
    <t>AKT3_243716231.3.t0</t>
  </si>
  <si>
    <t>AKT3_243859014.363.t0</t>
  </si>
  <si>
    <t>DNMT3A_25470473.478.t0</t>
  </si>
  <si>
    <t>SOS1_39278335.777.t0</t>
  </si>
  <si>
    <t>PDK1_173427015.889.t0</t>
  </si>
  <si>
    <t>PDK1_173429409.68.t0</t>
  </si>
  <si>
    <t>IDH1_209113111.658.t0</t>
  </si>
  <si>
    <t>NYAP2_226447702.91.t0</t>
  </si>
  <si>
    <t>MKRN2_12613838.545.t0</t>
  </si>
  <si>
    <t>PRKCD_53222789.115.t0</t>
  </si>
  <si>
    <t>CACNA1D_53777069.1248.t0</t>
  </si>
  <si>
    <t>PIK3CA_178916645.629.t0</t>
  </si>
  <si>
    <t>PIK3CA_178916861.1490.t0</t>
  </si>
  <si>
    <t>PIK3CA_178917577.373.t0</t>
  </si>
  <si>
    <t>PIK3CA_178921549.413.t0</t>
  </si>
  <si>
    <t>PIK3CA_178922363.119.t0</t>
  </si>
  <si>
    <t>PIK3CA_178927980.83.t0</t>
  </si>
  <si>
    <t>PIK3CA_178936082.317.t0</t>
  </si>
  <si>
    <t>PIK3CA_178938833.650.t0</t>
  </si>
  <si>
    <t>PIK3CA_178938934.409.t1</t>
  </si>
  <si>
    <t>PIK3CA_178947852.870.t0</t>
  </si>
  <si>
    <t>PIK3CA_178952018.1825.t0</t>
  </si>
  <si>
    <t>PIK3CA_178952140.1390.t0</t>
  </si>
  <si>
    <t>LSG1_194366963.594.t0</t>
  </si>
  <si>
    <t>PAQR3_79845024.455.t0</t>
  </si>
  <si>
    <t>chr5</t>
  </si>
  <si>
    <t>PIK3R1_67589138.232.t0</t>
  </si>
  <si>
    <t>PIK3R1_67589591.215.t0</t>
  </si>
  <si>
    <t>PIK3R1_67591097.1742.t0</t>
  </si>
  <si>
    <t>PIK3R1_67591239.1000.t0</t>
  </si>
  <si>
    <t>ENPP4_46107782.240.t0</t>
  </si>
  <si>
    <t>ADCY1_45688284.53.t0</t>
  </si>
  <si>
    <t>GNB2_100275003.272.t0</t>
  </si>
  <si>
    <t>STRIP2_129125597.777.t0</t>
  </si>
  <si>
    <t>BRAF_140453135.536.t0</t>
  </si>
  <si>
    <t>RHEB_151188034.763.t0</t>
  </si>
  <si>
    <t>chr9</t>
  </si>
  <si>
    <t>TEK_27180309.920.t0</t>
  </si>
  <si>
    <t>TEK_27212707.1338.t0</t>
  </si>
  <si>
    <t>TEK_27228298.831.t0</t>
  </si>
  <si>
    <t>TEK_27229168.386.t0</t>
  </si>
  <si>
    <t>GNA14_80043931.534.t0</t>
  </si>
  <si>
    <t>GNAQ_80409487.301.t0</t>
  </si>
  <si>
    <t>GNAQ_80412492.689.t0</t>
  </si>
  <si>
    <t>chr11</t>
  </si>
  <si>
    <t>HRAS_533840.420.t0</t>
  </si>
  <si>
    <t>HRAS_534284.235.t0</t>
  </si>
  <si>
    <t>KRAS_25378560.473.t0</t>
  </si>
  <si>
    <t>KRAS_25380263.484.t0</t>
  </si>
  <si>
    <t>KRAS_25398253.1143.t1</t>
  </si>
  <si>
    <t>SYT1_79842759.1037.t0</t>
  </si>
  <si>
    <t>PTPN11_112888162.1209.t0</t>
  </si>
  <si>
    <t>PTPN11_112891081.311.t0</t>
  </si>
  <si>
    <t>PTPN11_112926887.355.t0</t>
  </si>
  <si>
    <t>chr14</t>
  </si>
  <si>
    <t>AKT1_105246549.326.t0</t>
  </si>
  <si>
    <t>NUSAP1_41648283.493.t0</t>
  </si>
  <si>
    <t>MAP2K1_66727442.499.t0</t>
  </si>
  <si>
    <t>MAP2K1_66729105.1836.t0</t>
  </si>
  <si>
    <t>IDH2_90631837.241.t0</t>
  </si>
  <si>
    <t>NPRL3_160520.386.t0</t>
  </si>
  <si>
    <t>TSC2_2113028.152.t0</t>
  </si>
  <si>
    <t>TSC2_2114341.618.t0</t>
  </si>
  <si>
    <t>TSC2_2124336.395.t0</t>
  </si>
  <si>
    <t>TSC2_2134597.200.t0</t>
  </si>
  <si>
    <t>TSC2_2138293.271.t0</t>
  </si>
  <si>
    <t>PRRT2_29825010.271.t0</t>
  </si>
  <si>
    <t>chr17</t>
  </si>
  <si>
    <t>NF1_29508507.734.t0</t>
  </si>
  <si>
    <t>NF1_29665753.88.t0</t>
  </si>
  <si>
    <t>MAP3K3_61768570.337.t0</t>
  </si>
  <si>
    <t>chr19</t>
  </si>
  <si>
    <t>GNA11_3115012.238.t0</t>
  </si>
  <si>
    <t>GNA11_3118941.227.t0</t>
  </si>
  <si>
    <t>AKT2_40761123.868.t0</t>
  </si>
  <si>
    <t>chr20</t>
  </si>
  <si>
    <t>GNAS_57484420.1066.t0</t>
  </si>
  <si>
    <t>chr22</t>
  </si>
  <si>
    <t>DEPDC5_32193674.495.t0</t>
  </si>
  <si>
    <t>chrX</t>
  </si>
  <si>
    <t>ARAF_47426120.55.t0</t>
  </si>
  <si>
    <t>SLC35A2_48762195.355.t0</t>
  </si>
  <si>
    <t>SLC35A2_48762338.271.t0</t>
  </si>
  <si>
    <t>NF1_29527557.27.t0</t>
  </si>
  <si>
    <t>not in design</t>
  </si>
  <si>
    <t>xGen_amplicon</t>
  </si>
  <si>
    <t>HindIII</t>
  </si>
  <si>
    <t>Annealing_temp</t>
  </si>
  <si>
    <t>TE</t>
  </si>
  <si>
    <t>p.H1047R</t>
  </si>
  <si>
    <t>p.G948E</t>
  </si>
  <si>
    <t>p.Arg132Cys</t>
  </si>
  <si>
    <t>p.P160Q</t>
  </si>
  <si>
    <t>p.S523R</t>
  </si>
  <si>
    <t>p.E260D</t>
  </si>
  <si>
    <t>p.A706T</t>
  </si>
  <si>
    <t>p.Cys420Arg</t>
  </si>
  <si>
    <t>p.Glu542Lys</t>
  </si>
  <si>
    <t>p.Glu545Lys</t>
  </si>
  <si>
    <t>p.Glu545Gly</t>
  </si>
  <si>
    <t>MTOR_p.I2500N</t>
  </si>
  <si>
    <t>A</t>
  </si>
  <si>
    <t>T</t>
  </si>
  <si>
    <t>MTOR_p.S2215P</t>
  </si>
  <si>
    <t>G</t>
  </si>
  <si>
    <t>MTOR_p.T1977K</t>
  </si>
  <si>
    <t>MTOR_p.F1888L</t>
  </si>
  <si>
    <t>C</t>
  </si>
  <si>
    <t>MTOR_p.C1483R</t>
  </si>
  <si>
    <t>NRAS_p.Q61R</t>
  </si>
  <si>
    <t>PDE4DIP_p.A706T</t>
  </si>
  <si>
    <t>AKT3_p.E17K</t>
  </si>
  <si>
    <t>IDH1_p.R132C</t>
  </si>
  <si>
    <t>NYAP2_p.S523R</t>
  </si>
  <si>
    <t>MKRN2_p.P160Q</t>
  </si>
  <si>
    <t>CACNA1D_p.G948E</t>
  </si>
  <si>
    <t>PIK3CA_p.N345K</t>
  </si>
  <si>
    <t>PIK3CA_p.C420R</t>
  </si>
  <si>
    <t>PIK3CA_p.E453K</t>
  </si>
  <si>
    <t>PIK3CA_p.E542K</t>
  </si>
  <si>
    <t>PIK3CA_p.E545K</t>
  </si>
  <si>
    <t>PIK3CA_p.E545G</t>
  </si>
  <si>
    <t>PIK3CA_p.H1047R</t>
  </si>
  <si>
    <t>PAQR3_p.E260D</t>
  </si>
  <si>
    <t>PTPN11_p.T507A</t>
  </si>
  <si>
    <t>POS</t>
  </si>
  <si>
    <t>ID</t>
  </si>
  <si>
    <t>REF</t>
  </si>
  <si>
    <t>ALT</t>
  </si>
  <si>
    <t>CHROM</t>
  </si>
  <si>
    <t>p.Asn345Lys</t>
  </si>
  <si>
    <t>assayID</t>
  </si>
  <si>
    <r>
      <t xml:space="preserve"> </t>
    </r>
    <r>
      <rPr>
        <b/>
        <sz val="12"/>
        <color theme="1"/>
        <rFont val="Calibri"/>
        <family val="2"/>
        <scheme val="minor"/>
      </rPr>
      <t>NB: wt (HEX) bleed through, gives false signal in FAM. (</t>
    </r>
    <r>
      <rPr>
        <sz val="12"/>
        <color theme="1"/>
        <rFont val="Calibri"/>
        <family val="2"/>
        <scheme val="minor"/>
      </rPr>
      <t>Easier to discern at 58 deg annealing)</t>
    </r>
  </si>
  <si>
    <t>dHsaMDS121759946</t>
  </si>
  <si>
    <t>dHsaMDS987233089</t>
  </si>
  <si>
    <t>Bio-Rad erronously calls this p.T507A hg19|chr12:112926838-112926960:+</t>
  </si>
  <si>
    <t>conc_ddPCR_reaction</t>
  </si>
  <si>
    <t>Sample</t>
  </si>
  <si>
    <t>Mosaic_v1b4_percentage_aim</t>
  </si>
  <si>
    <t>Mosaic_v1b4_copies</t>
  </si>
  <si>
    <t>Mosaic_v1b4_copies_per_ddPCR</t>
  </si>
  <si>
    <t>Mosaic_v1b4_volume</t>
  </si>
  <si>
    <t>Measured_percentage_ddPCR</t>
  </si>
  <si>
    <t>Date_ddPCR</t>
  </si>
  <si>
    <t>10.11.25</t>
  </si>
  <si>
    <t>S3</t>
  </si>
  <si>
    <t>21.11.25</t>
  </si>
  <si>
    <t>30.10.25</t>
  </si>
  <si>
    <t>01.11.25</t>
  </si>
  <si>
    <t>overestimate 2x both mut and wt</t>
  </si>
  <si>
    <t>03.11.25</t>
  </si>
  <si>
    <t>close to another</t>
  </si>
  <si>
    <t>S4_new</t>
  </si>
  <si>
    <t>01-03.11.25</t>
  </si>
  <si>
    <t>date_conc</t>
  </si>
  <si>
    <t>Fixed variables</t>
  </si>
  <si>
    <t>Copies wt</t>
  </si>
  <si>
    <t>Total volume</t>
  </si>
  <si>
    <t>ng/ul wt DNA</t>
  </si>
  <si>
    <t>tRNA_carrier</t>
  </si>
  <si>
    <t>wt_GM24385</t>
  </si>
  <si>
    <t>5.12.25</t>
  </si>
  <si>
    <t>25.11.25</t>
  </si>
  <si>
    <t>18.11.25</t>
  </si>
  <si>
    <t>p.Q61R</t>
  </si>
  <si>
    <t>S4</t>
  </si>
  <si>
    <t>12:112926899</t>
  </si>
  <si>
    <t>ordered</t>
  </si>
  <si>
    <t>CCCATGAGACATACAAAAAGGTAATGCCGCCTCGCTAGGTGAGCTACAGCTCGATTGTCACGTTAAGCTGGCCTAAACAATGTGATCCCTTCTTCTGTGTACCTCACAGCAGTCTTTCTTTCCCATGTAACAGGAGATCCAGGCTACCTGGTATGAGAAACTGCACGAGTGGGAGGATGCCCTTGTGGCCTATGACAAGAAAATGGACACCAACAAGGACGACCCAGAGCTGATGCTGGGCCGCATGCGCCGCCTCGAGGCCTTGGGGGAATGGTGAGCTTCCTAGAATGATGGCATGTGTGGCTGCAAGAGACTTCGTCTCTTTGATCTTTGGATTTGAAAGGAAGGCTTCCCCCACACGGAGTTCTCACTTCAGACTCATTTTGTTCCACTTGATACTTCTCAGGAATCATCTTTCACTTTTGGTGTTTTTCTCTCTCCATTCTATCTCAGCTGCTAAGTAGGAAGGCCGGTCTCGACTATACGCCCGTTTTCGGATC</t>
  </si>
  <si>
    <t>mTOR</t>
  </si>
  <si>
    <t>CCCATGAGACATACAAAAAGGTAATGCCGCCTCGCTAGGTGAGCTACAGCTCGATTGTCACGTTAAGCTGGCCCTCTCAGCTGAAGAGCTGAGGACCTCTGATGTACACTCACCGCTCCCACTGTTCCTTACAGGCAGCAACGGACATGAGTTTGTTTTCCTTCTAAAAGGCCATGAAGATCTGCGCCAGGATGAGCGTGTGATGCAGCTCTTCGGCCTGGTTAACACCCTTCTGGCCAATGACCCAACACCTCTTCGGAAAAACCTCAGGTATTCAGAAACCCTGAAATGGCAACAATTTGAGAAGTCTTCTGGTTTTTTCCTACATTTGTCTCGTGTAGTCATGTATTATATCTTAACAAAAAACTATAAAATTAGGGAGCCAGGCATGGTAACTCATGCCTGTAGTCCCAGAAACTCCAGAGGTTGAGGCAGGGGGATGGCTTGAGCCCAGGAGTTCAAGGCTGCAGTGGTCTCGACTATACGCCCGTTTTCGGATC</t>
  </si>
  <si>
    <t xml:space="preserve">MTOR </t>
  </si>
  <si>
    <t>p.I2500N</t>
  </si>
  <si>
    <t>CCCATGAGACATACAAAAAGGTAATGCCGCCTCGCTAGGTGAGCTACAGCTCGATTGTCACGTTAAGCTGGCCAAGACGGACATAGAGGAAGGATTGCTTAACACTTACAAAAGTGAATATTTGAGAAAAACAGGGCACCCATTGAACCTGTTGTATTGCTCCCATTCTTACAGTTATTTCTACTTTTGTGTATTCCAGTTGGAGACGGTTTGGTGAAACCAGAGGCCCTAAATAAGAAAGCTATCCAGAATATTAACAGGGTTCGAGATAAGCTCACTGGTGAGTGTGTCATGTGTTTACTTAAAAGGGACATAAAATCTGAGCACACTTTCCTCTCTGAGTGGTGGTCAGCCCCATGTCCAGTGGTGTTAGTGACGAGCTTTGGCACCATGCAGCTGACAAAGAGTGTCTTTGAGGTCATCAGTTAAACATTGTCTCTGATTCTTCTTTCTGATGACTGATAACAGTACGGTCTCGACTATACGCCCGTTTTCGGATC</t>
  </si>
  <si>
    <t>c.1035T&gt;A p.Asn345Lys</t>
  </si>
  <si>
    <t>GCTTGGGAGGATGCCCAATTTGATGTTGATGGCTAAAGAAAGCCTTTATTCTCAACTGCCAATGGACTGTTTTACAATGCCATCTTATTCCAGACGCATTTCCACAGCTACACCATATATGAATGGAGAAACATCTACAAAATCCCTTTGGGTTATAAATAGTGCACTCAGAATAAAAATTCTTTGTGCAACCTACGTGAA[a]GTAAATATTCGAGACATTGATAAGGTAAAGTCAAATGCTGATGCTTATTATTTTATAGAAATTATTTTAGATAACCTTTTTCTTGCACTATACAGTAATCTGTTGACCTGTAGTATGTTTTCAGATGGTTAGGAGAACATCCAAATCTCCGAATGTAAAAATATATCAAGAATTTTACTTGAGCTTCCATCTACCTTAGCTATTATACAGCTCACAGTCCTTTGTTAATAATTCTAATATTCACAATTCTAGCTCTTAAAATCAAAAGTTTTACAGAATTCGTTTGGCAGAAAGACCTGGGCCAACCTTAAGTGAGGGTTTTTAT</t>
  </si>
  <si>
    <t>AGGAACTGGGAGCCATGTGTTCCATCCTGGCCCAGGAGGGTCTGTCCAGCCAGCCGTCCCAGAGGGCCCGGGAGCCTTGCTAAAAAGAAAGCGTTCCCTCGAAGACTGAGCCCCTTCCTGGTAGTCTCAAGCAGATGTTAATGTCACACTCACCACTTGTTTTGTTATTCTCCTTAAAATTCATACCAGCTCTTCCCCAACCCACATTTCCTTTATAGATGTTTCTTCTGTTTTTCCCTCAGGCCCTCATCTACCCACTGA[a]AGTGGCTTCTAAGTCTACCACGACAGCCCGGCACAATGCAGCCAACAAGATTCTGAAGAACATGTGTGAGCACAGCAACACCCTGGTCCAGCAGGCCATGATGGTGGGTCGGAGCCACTGTGGGGCTTCATAGACCCTGGTCCCTTAGCTGGTGGGCGCAAGTGGGATTGTTTTTCTTCCTCGCATTGGTGCTGTGCACTTCCTCTGACTGCTGGAAATAGTACCTCCTGTGTCTCC</t>
  </si>
  <si>
    <t>c.1357G&gt;A p.E453K</t>
  </si>
  <si>
    <t>GTTTGATTACACAGACACTCTAGTATCTGGAAAAATGGCTTTGAATCTTTGGCCAGTACCTCATGGATTA[a]AAGATTTGCTGAACCCTATTGGTGTTACTGGATCAAATCCAAATAAAGTAAGGTTTTTATTGTCATAAATTAGATATTTTTTATGGCAGTCAAACCTTCTCTCTTATGTATATATAATAGCTTTTCTTCCATCTCTTAGGAAACTCCATGCTTAGAGTTGGAGTTTGACTGGTTCAGCAGTGTGGTAAAGTTCCCAGATATGTCAGTGATTGAAGAGCATGCCAATTGGTCTGTATCCCGAGAAGCAGGATTTAGCTATTCCCACGCAGGACTGGTAAGGC</t>
  </si>
  <si>
    <t>c.1519A&gt;G p.Gly507Arg</t>
  </si>
  <si>
    <t>TGCAACATGCTCAGTTAAAACAGCAAAGACTAAATTAGCATTGTCTCTGAGTCCACTAAAAGTTGTGCATTAAACAACTTCATCCTGGCTCTGCAGTTTCTCTTTATTCTTCATGATGTTTCCTTCGTAGGTGTTGACTGCGATATTGACGTTCCCAAAACCATCCAGATGGTGCGGTCTCAGAGGTCAGGGATGGTCCAG[G]CAGAAGCACAGTACCGATTTATCTATATGGCGGTCCAGCATTATATTGAAACACTACAGCGCAGGATTGAAGAAGAGCAGGTACCAGCCTGAGGGCTGGCATGCGGATTCTCATTCTCTTGCTAGGCCTCTTGGATACGCTCTCCTTTTGAGCAGGAGGACAGGCTCTGATAGACAACTGTTTGATTTCGGAATGGGAAACAAACTCCCA</t>
  </si>
  <si>
    <t>dHsaMDV2010077</t>
  </si>
  <si>
    <t>dHsaMDV2510544</t>
  </si>
  <si>
    <t>C_150852487_10</t>
  </si>
  <si>
    <t>C_169027163_10</t>
  </si>
  <si>
    <t>dHsaMDS2513846</t>
  </si>
  <si>
    <t>C_169027162_10</t>
  </si>
  <si>
    <t>C__44193858_10</t>
  </si>
  <si>
    <t>dHsaMDS144142923</t>
  </si>
  <si>
    <t>dHsaMDS694878417</t>
  </si>
  <si>
    <t>Custom_IDT</t>
  </si>
  <si>
    <t>dHsaMDS544060827 </t>
  </si>
  <si>
    <t>dHsaMDS754193997 </t>
  </si>
  <si>
    <t>dHsaMDS975512901 </t>
  </si>
  <si>
    <t>dHsaMDS957523778 </t>
  </si>
  <si>
    <t>VAF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</si>
</sst>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 (Body)_x0000_"/>
    </font>
    <font>
      <sz val="12"/>
      <color rgb="FF000000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u/>
      <sz val="10"/>
      <color rgb="FF000000"/>
      <name val="Tahoma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49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4" fillId="0" borderId="0" xfId="0" applyFont="1"/>
    <xf numFmtId="20" fontId="0" fillId="0" borderId="0" xfId="0" applyNumberFormat="1"/>
    <xf numFmtId="0" fontId="0" fillId="2" borderId="0" xfId="0" applyFill="1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right" vertical="center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9" fillId="0" borderId="0" xfId="0" applyFont="1"/>
    <xf numFmtId="0" fontId="10" fillId="0" borderId="0" xfId="0" applyFont="1" applyAlignment="1">
      <alignment horizontal="left" wrapText="1" readingOrder="1"/>
    </xf>
    <xf numFmtId="0" fontId="10" fillId="0" borderId="0" xfId="0" applyFont="1" applyAlignment="1">
      <alignment horizontal="left" vertical="center" wrapText="1" readingOrder="1"/>
    </xf>
    <xf numFmtId="0" fontId="6" fillId="0" borderId="0" xfId="0" applyFont="1"/>
    <xf numFmtId="0" fontId="0" fillId="0" borderId="0" xfId="0" quotePrefix="1" applyAlignment="1">
      <alignment horizontal="left"/>
    </xf>
    <xf numFmtId="3" fontId="0" fillId="0" borderId="1" xfId="0" applyNumberFormat="1" applyBorder="1" applyAlignment="1">
      <alignment wrapText="1"/>
    </xf>
    <xf numFmtId="0" fontId="13" fillId="0" borderId="0" xfId="0" applyFont="1" applyAlignment="1">
      <alignment horizontal="left" wrapText="1" readingOrder="1"/>
    </xf>
    <xf numFmtId="0" fontId="6" fillId="3" borderId="0" xfId="0" applyFont="1" applyFill="1"/>
    <xf numFmtId="0" fontId="0" fillId="3" borderId="0" xfId="0" applyFill="1"/>
    <xf numFmtId="0" fontId="0" fillId="0" borderId="0" xfId="0" applyAlignment="1">
      <alignment horizontal="left" vertical="top" wrapText="1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F949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578C-8F56-DA4E-B483-7CC6B6138346}">
  <dimension ref="A1:AH37"/>
  <sheetViews>
    <sheetView topLeftCell="H1" workbookViewId="0">
      <selection activeCell="S1" activeCellId="1" sqref="A1:E1048576 S1:S1048576"/>
    </sheetView>
  </sheetViews>
  <sheetFormatPr baseColWidth="10" defaultRowHeight="16"/>
  <cols>
    <col min="1" max="1" width="14.83203125" customWidth="1"/>
    <col min="2" max="2" width="20.83203125" customWidth="1"/>
    <col min="3" max="3" width="17" bestFit="1" customWidth="1"/>
    <col min="4" max="4" width="12.5" customWidth="1"/>
    <col min="5" max="5" width="12.6640625" customWidth="1"/>
    <col min="6" max="6" width="10" bestFit="1" customWidth="1"/>
    <col min="7" max="7" width="10.1640625" customWidth="1"/>
    <col min="8" max="8" width="18.33203125" customWidth="1"/>
    <col min="9" max="9" width="16" customWidth="1"/>
    <col min="10" max="10" width="16.83203125" style="16" customWidth="1"/>
    <col min="11" max="11" width="12.6640625" bestFit="1" customWidth="1"/>
    <col min="12" max="12" width="17.1640625" customWidth="1"/>
    <col min="13" max="13" width="18" customWidth="1"/>
    <col min="14" max="14" width="12.1640625" customWidth="1"/>
    <col min="16" max="16" width="19.1640625" customWidth="1"/>
    <col min="17" max="17" width="8.33203125" customWidth="1"/>
    <col min="18" max="18" width="11" customWidth="1"/>
    <col min="21" max="21" width="15.83203125" customWidth="1"/>
    <col min="22" max="22" width="18.1640625" bestFit="1" customWidth="1"/>
    <col min="23" max="23" width="58.6640625" customWidth="1"/>
    <col min="29" max="29" width="13.6640625" bestFit="1" customWidth="1"/>
  </cols>
  <sheetData>
    <row r="1" spans="1:31" s="22" customFormat="1" ht="17">
      <c r="A1" s="22" t="s">
        <v>267</v>
      </c>
      <c r="B1" s="22" t="s">
        <v>263</v>
      </c>
      <c r="C1" s="22" t="s">
        <v>264</v>
      </c>
      <c r="D1" s="22" t="s">
        <v>265</v>
      </c>
      <c r="E1" s="22" t="s">
        <v>266</v>
      </c>
      <c r="F1" s="22" t="s">
        <v>0</v>
      </c>
      <c r="G1" s="22" t="s">
        <v>85</v>
      </c>
      <c r="H1" s="25" t="s">
        <v>84</v>
      </c>
      <c r="I1" s="22" t="s">
        <v>3</v>
      </c>
      <c r="J1" s="22" t="s">
        <v>2</v>
      </c>
      <c r="K1" s="22" t="s">
        <v>274</v>
      </c>
      <c r="L1" s="22" t="s">
        <v>10</v>
      </c>
      <c r="M1" s="22" t="s">
        <v>292</v>
      </c>
      <c r="N1" s="22" t="s">
        <v>275</v>
      </c>
      <c r="O1" s="22" t="s">
        <v>276</v>
      </c>
      <c r="P1" s="22" t="s">
        <v>277</v>
      </c>
      <c r="Q1" s="22" t="s">
        <v>278</v>
      </c>
      <c r="R1" s="22" t="s">
        <v>279</v>
      </c>
      <c r="S1" s="22" t="s">
        <v>280</v>
      </c>
      <c r="T1" s="22" t="s">
        <v>281</v>
      </c>
      <c r="U1" s="22" t="s">
        <v>92</v>
      </c>
      <c r="V1" s="22" t="s">
        <v>269</v>
      </c>
      <c r="W1" s="22" t="s">
        <v>53</v>
      </c>
      <c r="X1" s="22" t="s">
        <v>225</v>
      </c>
      <c r="Y1" s="22" t="s">
        <v>96</v>
      </c>
      <c r="Z1" s="22" t="s">
        <v>223</v>
      </c>
    </row>
    <row r="2" spans="1:31" ht="20" customHeight="1">
      <c r="A2">
        <v>1</v>
      </c>
      <c r="B2">
        <v>243859016</v>
      </c>
      <c r="C2" t="s">
        <v>249</v>
      </c>
      <c r="D2" t="s">
        <v>245</v>
      </c>
      <c r="E2" t="s">
        <v>240</v>
      </c>
      <c r="F2" s="1" t="s">
        <v>77</v>
      </c>
      <c r="G2" t="s">
        <v>110</v>
      </c>
      <c r="H2" s="20" t="s">
        <v>78</v>
      </c>
      <c r="I2" s="8" t="s">
        <v>115</v>
      </c>
      <c r="J2" t="s">
        <v>82</v>
      </c>
      <c r="K2">
        <v>61.3</v>
      </c>
      <c r="L2" s="22">
        <f t="shared" ref="L2:L22" si="0">K2*22/5</f>
        <v>269.71999999999997</v>
      </c>
      <c r="M2" t="s">
        <v>286</v>
      </c>
      <c r="N2" t="s">
        <v>303</v>
      </c>
      <c r="O2">
        <v>2</v>
      </c>
      <c r="P2">
        <f t="shared" ref="P2:P22" si="1">$AD$5*O2/100</f>
        <v>10000</v>
      </c>
      <c r="Q2" s="12">
        <f t="shared" ref="Q2:Q22" si="2">P2/$AD$6*5</f>
        <v>100</v>
      </c>
      <c r="R2" s="10">
        <f t="shared" ref="R2:R23" si="3">P2/L2</f>
        <v>37.075485688862528</v>
      </c>
      <c r="S2" s="18">
        <v>4</v>
      </c>
      <c r="T2" t="s">
        <v>284</v>
      </c>
      <c r="U2" t="s">
        <v>94</v>
      </c>
      <c r="V2" s="23" t="s">
        <v>271</v>
      </c>
      <c r="W2" s="28" t="s">
        <v>270</v>
      </c>
      <c r="X2" s="11">
        <v>58</v>
      </c>
      <c r="Y2" t="s">
        <v>99</v>
      </c>
      <c r="Z2" t="s">
        <v>139</v>
      </c>
      <c r="AA2" s="18"/>
      <c r="AB2" s="18"/>
    </row>
    <row r="3" spans="1:31" ht="17">
      <c r="A3">
        <v>3</v>
      </c>
      <c r="B3">
        <v>53777069</v>
      </c>
      <c r="C3" t="s">
        <v>253</v>
      </c>
      <c r="D3" t="s">
        <v>242</v>
      </c>
      <c r="E3" t="s">
        <v>239</v>
      </c>
      <c r="F3" t="s">
        <v>45</v>
      </c>
      <c r="G3" t="s">
        <v>87</v>
      </c>
      <c r="H3" s="20" t="s">
        <v>228</v>
      </c>
      <c r="I3" t="s">
        <v>41</v>
      </c>
      <c r="J3" t="s">
        <v>52</v>
      </c>
      <c r="K3">
        <v>433</v>
      </c>
      <c r="L3" s="22">
        <f t="shared" si="0"/>
        <v>1905.2</v>
      </c>
      <c r="M3" t="s">
        <v>285</v>
      </c>
      <c r="N3" t="s">
        <v>303</v>
      </c>
      <c r="O3">
        <v>4</v>
      </c>
      <c r="P3">
        <f t="shared" si="1"/>
        <v>20000</v>
      </c>
      <c r="Q3" s="12">
        <f t="shared" si="2"/>
        <v>200</v>
      </c>
      <c r="R3" s="10">
        <f t="shared" si="3"/>
        <v>10.497585555322276</v>
      </c>
      <c r="S3" s="18">
        <v>4.2</v>
      </c>
      <c r="T3" t="s">
        <v>301</v>
      </c>
      <c r="U3" t="s">
        <v>94</v>
      </c>
      <c r="V3" t="s">
        <v>331</v>
      </c>
      <c r="X3">
        <v>60</v>
      </c>
      <c r="Y3" t="s">
        <v>101</v>
      </c>
      <c r="Z3" t="s">
        <v>148</v>
      </c>
      <c r="AA3" s="18"/>
      <c r="AB3" s="18"/>
    </row>
    <row r="4" spans="1:31" ht="17">
      <c r="A4">
        <v>2</v>
      </c>
      <c r="B4">
        <v>209113113</v>
      </c>
      <c r="C4" t="s">
        <v>250</v>
      </c>
      <c r="D4" t="s">
        <v>242</v>
      </c>
      <c r="E4" t="s">
        <v>239</v>
      </c>
      <c r="F4" s="1" t="s">
        <v>21</v>
      </c>
      <c r="G4" s="1" t="s">
        <v>22</v>
      </c>
      <c r="H4" s="21" t="s">
        <v>229</v>
      </c>
      <c r="I4" s="1" t="s">
        <v>23</v>
      </c>
      <c r="J4" s="1" t="s">
        <v>4</v>
      </c>
      <c r="K4">
        <v>450.5</v>
      </c>
      <c r="L4" s="22">
        <f t="shared" si="0"/>
        <v>1982.2</v>
      </c>
      <c r="M4" t="s">
        <v>288</v>
      </c>
      <c r="N4" t="s">
        <v>303</v>
      </c>
      <c r="O4">
        <v>2</v>
      </c>
      <c r="P4">
        <f t="shared" si="1"/>
        <v>10000</v>
      </c>
      <c r="Q4" s="12">
        <f t="shared" si="2"/>
        <v>100</v>
      </c>
      <c r="R4" s="10">
        <f t="shared" si="3"/>
        <v>5.0448996064978306</v>
      </c>
      <c r="S4" s="18">
        <v>2.1</v>
      </c>
      <c r="T4" t="s">
        <v>301</v>
      </c>
      <c r="U4" t="s">
        <v>118</v>
      </c>
      <c r="V4" s="1" t="s">
        <v>327</v>
      </c>
      <c r="X4">
        <v>60</v>
      </c>
      <c r="Y4" s="13" t="s">
        <v>100</v>
      </c>
      <c r="Z4" t="s">
        <v>144</v>
      </c>
      <c r="AA4" s="18"/>
      <c r="AB4" s="18"/>
      <c r="AC4" s="26" t="s">
        <v>293</v>
      </c>
      <c r="AD4" s="27"/>
    </row>
    <row r="5" spans="1:31" ht="17">
      <c r="A5">
        <v>3</v>
      </c>
      <c r="B5">
        <v>12613838</v>
      </c>
      <c r="C5" t="s">
        <v>252</v>
      </c>
      <c r="D5" t="s">
        <v>245</v>
      </c>
      <c r="E5" t="s">
        <v>239</v>
      </c>
      <c r="F5" t="s">
        <v>44</v>
      </c>
      <c r="G5" t="s">
        <v>88</v>
      </c>
      <c r="H5" s="20" t="s">
        <v>230</v>
      </c>
      <c r="I5" t="s">
        <v>39</v>
      </c>
      <c r="J5" t="s">
        <v>52</v>
      </c>
      <c r="K5">
        <v>250</v>
      </c>
      <c r="L5" s="22">
        <f t="shared" si="0"/>
        <v>1100</v>
      </c>
      <c r="M5" t="s">
        <v>285</v>
      </c>
      <c r="N5" t="s">
        <v>303</v>
      </c>
      <c r="O5">
        <v>1</v>
      </c>
      <c r="P5">
        <f t="shared" si="1"/>
        <v>5000</v>
      </c>
      <c r="Q5" s="12">
        <f t="shared" si="2"/>
        <v>50</v>
      </c>
      <c r="R5" s="10">
        <f t="shared" si="3"/>
        <v>4.5454545454545459</v>
      </c>
      <c r="S5" s="18">
        <v>0.9</v>
      </c>
      <c r="T5" t="s">
        <v>301</v>
      </c>
      <c r="U5" t="s">
        <v>94</v>
      </c>
      <c r="V5" t="s">
        <v>330</v>
      </c>
      <c r="X5">
        <v>60</v>
      </c>
      <c r="Y5" t="s">
        <v>100</v>
      </c>
      <c r="Z5" t="s">
        <v>146</v>
      </c>
      <c r="AA5" s="18"/>
      <c r="AB5" s="18"/>
      <c r="AC5" s="27" t="s">
        <v>294</v>
      </c>
      <c r="AD5" s="27">
        <v>500000</v>
      </c>
    </row>
    <row r="6" spans="1:31" ht="17">
      <c r="A6">
        <v>1</v>
      </c>
      <c r="B6">
        <v>11217231</v>
      </c>
      <c r="C6" t="s">
        <v>246</v>
      </c>
      <c r="D6" t="s">
        <v>239</v>
      </c>
      <c r="E6" t="s">
        <v>242</v>
      </c>
      <c r="F6" s="1" t="s">
        <v>20</v>
      </c>
      <c r="G6" t="s">
        <v>112</v>
      </c>
      <c r="H6" s="20" t="s">
        <v>64</v>
      </c>
      <c r="I6" s="8" t="s">
        <v>114</v>
      </c>
      <c r="J6" t="s">
        <v>82</v>
      </c>
      <c r="K6">
        <v>303.5</v>
      </c>
      <c r="L6" s="22">
        <f t="shared" si="0"/>
        <v>1335.4</v>
      </c>
      <c r="M6" t="s">
        <v>285</v>
      </c>
      <c r="N6" t="s">
        <v>303</v>
      </c>
      <c r="O6">
        <v>4</v>
      </c>
      <c r="P6">
        <f t="shared" si="1"/>
        <v>20000</v>
      </c>
      <c r="Q6" s="12">
        <f t="shared" si="2"/>
        <v>200</v>
      </c>
      <c r="R6" s="10">
        <f t="shared" si="3"/>
        <v>14.97678598172832</v>
      </c>
      <c r="S6" s="18">
        <v>4.2</v>
      </c>
      <c r="T6" t="s">
        <v>299</v>
      </c>
      <c r="U6" t="s">
        <v>94</v>
      </c>
      <c r="V6" t="s">
        <v>109</v>
      </c>
      <c r="X6">
        <v>60</v>
      </c>
      <c r="Y6" t="s">
        <v>101</v>
      </c>
      <c r="Z6" t="s">
        <v>129</v>
      </c>
      <c r="AA6" s="18"/>
      <c r="AB6" s="18"/>
      <c r="AC6" s="27" t="s">
        <v>295</v>
      </c>
      <c r="AD6" s="27">
        <v>500</v>
      </c>
    </row>
    <row r="7" spans="1:31" ht="17">
      <c r="A7">
        <v>1</v>
      </c>
      <c r="B7">
        <v>11189845</v>
      </c>
      <c r="C7" t="s">
        <v>244</v>
      </c>
      <c r="D7" t="s">
        <v>242</v>
      </c>
      <c r="E7" t="s">
        <v>245</v>
      </c>
      <c r="F7" s="1" t="s">
        <v>20</v>
      </c>
      <c r="G7" t="s">
        <v>113</v>
      </c>
      <c r="H7" s="20" t="s">
        <v>34</v>
      </c>
      <c r="I7" t="s">
        <v>36</v>
      </c>
      <c r="J7" t="s">
        <v>82</v>
      </c>
      <c r="K7">
        <v>207.5</v>
      </c>
      <c r="L7" s="22">
        <f t="shared" si="0"/>
        <v>913</v>
      </c>
      <c r="M7" t="s">
        <v>285</v>
      </c>
      <c r="N7" t="s">
        <v>303</v>
      </c>
      <c r="O7">
        <v>2</v>
      </c>
      <c r="P7">
        <f t="shared" si="1"/>
        <v>10000</v>
      </c>
      <c r="Q7" s="12">
        <f t="shared" si="2"/>
        <v>100</v>
      </c>
      <c r="R7" s="10">
        <f t="shared" si="3"/>
        <v>10.95290251916758</v>
      </c>
      <c r="S7" s="18">
        <v>1.7</v>
      </c>
      <c r="T7" t="s">
        <v>301</v>
      </c>
      <c r="U7" t="s">
        <v>94</v>
      </c>
      <c r="V7" t="s">
        <v>105</v>
      </c>
      <c r="X7">
        <v>60</v>
      </c>
      <c r="Y7" t="s">
        <v>100</v>
      </c>
      <c r="Z7" t="s">
        <v>126</v>
      </c>
      <c r="AA7" s="18"/>
      <c r="AB7" s="18"/>
      <c r="AC7" s="27" t="s">
        <v>296</v>
      </c>
      <c r="AD7" s="27">
        <v>74.8</v>
      </c>
    </row>
    <row r="8" spans="1:31" ht="17">
      <c r="A8">
        <v>1</v>
      </c>
      <c r="B8">
        <v>11188164</v>
      </c>
      <c r="C8" t="s">
        <v>243</v>
      </c>
      <c r="D8" t="s">
        <v>242</v>
      </c>
      <c r="E8" t="s">
        <v>240</v>
      </c>
      <c r="F8" s="1" t="s">
        <v>20</v>
      </c>
      <c r="G8" t="s">
        <v>102</v>
      </c>
      <c r="H8" s="20" t="s">
        <v>63</v>
      </c>
      <c r="I8" t="s">
        <v>79</v>
      </c>
      <c r="J8" s="1" t="s">
        <v>4</v>
      </c>
      <c r="K8">
        <f>AVERAGE(3120,3270)</f>
        <v>3195</v>
      </c>
      <c r="L8" s="22">
        <f t="shared" si="0"/>
        <v>14058</v>
      </c>
      <c r="M8" t="s">
        <v>282</v>
      </c>
      <c r="N8" t="s">
        <v>283</v>
      </c>
      <c r="O8">
        <v>4</v>
      </c>
      <c r="P8">
        <f t="shared" si="1"/>
        <v>20000</v>
      </c>
      <c r="Q8" s="12">
        <f t="shared" si="2"/>
        <v>200</v>
      </c>
      <c r="R8" s="10">
        <f t="shared" si="3"/>
        <v>1.4226774790155072</v>
      </c>
      <c r="S8" s="18">
        <v>3.7</v>
      </c>
      <c r="T8" t="s">
        <v>300</v>
      </c>
      <c r="U8" t="s">
        <v>118</v>
      </c>
      <c r="V8" s="13" t="s">
        <v>326</v>
      </c>
      <c r="W8" s="15"/>
      <c r="X8">
        <v>56</v>
      </c>
      <c r="Y8" s="13" t="s">
        <v>101</v>
      </c>
      <c r="Z8" t="s">
        <v>125</v>
      </c>
      <c r="AA8" s="18"/>
      <c r="AB8" s="18"/>
    </row>
    <row r="9" spans="1:31" ht="23" customHeight="1">
      <c r="A9">
        <v>1</v>
      </c>
      <c r="B9">
        <v>11184574</v>
      </c>
      <c r="C9" t="s">
        <v>241</v>
      </c>
      <c r="D9" t="s">
        <v>239</v>
      </c>
      <c r="E9" t="s">
        <v>242</v>
      </c>
      <c r="F9" s="1" t="s">
        <v>20</v>
      </c>
      <c r="G9" t="s">
        <v>106</v>
      </c>
      <c r="H9" s="20" t="s">
        <v>107</v>
      </c>
      <c r="I9" s="8" t="s">
        <v>62</v>
      </c>
      <c r="J9" t="s">
        <v>82</v>
      </c>
      <c r="K9">
        <f>AVERAGE(546,535)</f>
        <v>540.5</v>
      </c>
      <c r="L9" s="22">
        <f t="shared" si="0"/>
        <v>2378.1999999999998</v>
      </c>
      <c r="M9" t="s">
        <v>282</v>
      </c>
      <c r="N9" t="s">
        <v>283</v>
      </c>
      <c r="O9">
        <v>2</v>
      </c>
      <c r="P9">
        <f t="shared" si="1"/>
        <v>10000</v>
      </c>
      <c r="Q9" s="12">
        <f t="shared" si="2"/>
        <v>100</v>
      </c>
      <c r="R9" s="10">
        <f t="shared" si="3"/>
        <v>4.2048608191068881</v>
      </c>
      <c r="S9" s="18">
        <v>1.4</v>
      </c>
      <c r="T9" t="s">
        <v>299</v>
      </c>
      <c r="U9" t="s">
        <v>94</v>
      </c>
      <c r="V9" t="s">
        <v>108</v>
      </c>
      <c r="X9">
        <v>60</v>
      </c>
      <c r="Y9" t="s">
        <v>99</v>
      </c>
      <c r="Z9" t="s">
        <v>123</v>
      </c>
      <c r="AA9" s="18"/>
      <c r="AB9" s="18"/>
    </row>
    <row r="10" spans="1:31" ht="17">
      <c r="A10">
        <v>1</v>
      </c>
      <c r="B10">
        <v>11169376</v>
      </c>
      <c r="C10" t="s">
        <v>238</v>
      </c>
      <c r="D10" t="s">
        <v>239</v>
      </c>
      <c r="E10" t="s">
        <v>240</v>
      </c>
      <c r="F10" s="1" t="s">
        <v>20</v>
      </c>
      <c r="G10" t="s">
        <v>111</v>
      </c>
      <c r="H10" s="20" t="s">
        <v>60</v>
      </c>
      <c r="I10" s="8" t="s">
        <v>61</v>
      </c>
      <c r="J10" t="s">
        <v>82</v>
      </c>
      <c r="K10">
        <f>AVERAGE(89.3,86.6)</f>
        <v>87.949999999999989</v>
      </c>
      <c r="L10" s="22">
        <f t="shared" si="0"/>
        <v>386.9799999999999</v>
      </c>
      <c r="M10" t="s">
        <v>282</v>
      </c>
      <c r="N10" t="s">
        <v>283</v>
      </c>
      <c r="O10">
        <v>0.5</v>
      </c>
      <c r="P10">
        <f t="shared" si="1"/>
        <v>2500</v>
      </c>
      <c r="Q10" s="12">
        <f t="shared" si="2"/>
        <v>25</v>
      </c>
      <c r="R10" s="10">
        <f t="shared" si="3"/>
        <v>6.4602821851258483</v>
      </c>
      <c r="S10" s="18">
        <v>1.5</v>
      </c>
      <c r="T10" t="s">
        <v>284</v>
      </c>
      <c r="U10" t="s">
        <v>94</v>
      </c>
      <c r="V10" t="s">
        <v>104</v>
      </c>
      <c r="X10">
        <v>58</v>
      </c>
      <c r="Y10" t="s">
        <v>224</v>
      </c>
      <c r="Z10" t="s">
        <v>120</v>
      </c>
      <c r="AA10" s="18"/>
      <c r="AB10" s="18"/>
    </row>
    <row r="11" spans="1:31">
      <c r="A11">
        <v>1</v>
      </c>
      <c r="B11">
        <v>115256529</v>
      </c>
      <c r="C11" t="s">
        <v>247</v>
      </c>
      <c r="D11" t="s">
        <v>240</v>
      </c>
      <c r="E11" t="s">
        <v>245</v>
      </c>
      <c r="F11" s="1" t="s">
        <v>16</v>
      </c>
      <c r="G11" s="1" t="s">
        <v>17</v>
      </c>
      <c r="H11" t="s">
        <v>302</v>
      </c>
      <c r="I11" s="1" t="s">
        <v>18</v>
      </c>
      <c r="J11" s="1" t="s">
        <v>4</v>
      </c>
      <c r="K11">
        <f>AVERAGE(1480,1495)</f>
        <v>1487.5</v>
      </c>
      <c r="L11" s="22">
        <f t="shared" si="0"/>
        <v>6545</v>
      </c>
      <c r="M11" t="s">
        <v>282</v>
      </c>
      <c r="N11" t="s">
        <v>283</v>
      </c>
      <c r="O11">
        <v>4</v>
      </c>
      <c r="P11">
        <f t="shared" si="1"/>
        <v>20000</v>
      </c>
      <c r="Q11" s="12">
        <f t="shared" si="2"/>
        <v>200</v>
      </c>
      <c r="R11" s="10">
        <f t="shared" si="3"/>
        <v>3.0557677616501144</v>
      </c>
      <c r="S11" s="18">
        <v>3.7</v>
      </c>
      <c r="T11" t="s">
        <v>301</v>
      </c>
      <c r="U11" t="s">
        <v>93</v>
      </c>
      <c r="V11" s="13" t="s">
        <v>325</v>
      </c>
      <c r="X11">
        <v>60</v>
      </c>
      <c r="Y11" s="13" t="s">
        <v>100</v>
      </c>
      <c r="Z11" t="s">
        <v>134</v>
      </c>
      <c r="AA11" s="18"/>
      <c r="AB11" s="18"/>
    </row>
    <row r="12" spans="1:31" ht="17">
      <c r="A12">
        <v>2</v>
      </c>
      <c r="B12">
        <v>226447702</v>
      </c>
      <c r="C12" t="s">
        <v>251</v>
      </c>
      <c r="D12" t="s">
        <v>245</v>
      </c>
      <c r="E12" t="s">
        <v>239</v>
      </c>
      <c r="F12" t="s">
        <v>43</v>
      </c>
      <c r="G12" t="s">
        <v>89</v>
      </c>
      <c r="H12" s="20" t="s">
        <v>231</v>
      </c>
      <c r="I12" s="9" t="s">
        <v>38</v>
      </c>
      <c r="J12" t="s">
        <v>52</v>
      </c>
      <c r="K12">
        <v>62.25</v>
      </c>
      <c r="L12" s="22">
        <f t="shared" si="0"/>
        <v>273.89999999999998</v>
      </c>
      <c r="M12" t="s">
        <v>285</v>
      </c>
      <c r="N12" t="s">
        <v>303</v>
      </c>
      <c r="O12">
        <v>0.5</v>
      </c>
      <c r="P12">
        <f t="shared" si="1"/>
        <v>2500</v>
      </c>
      <c r="Q12" s="12">
        <f t="shared" si="2"/>
        <v>25</v>
      </c>
      <c r="R12" s="10">
        <f t="shared" si="3"/>
        <v>9.1274187659729833</v>
      </c>
      <c r="S12" s="18">
        <v>1.1000000000000001</v>
      </c>
      <c r="T12" t="s">
        <v>299</v>
      </c>
      <c r="U12" t="s">
        <v>94</v>
      </c>
      <c r="V12" t="s">
        <v>328</v>
      </c>
      <c r="W12" t="s">
        <v>80</v>
      </c>
      <c r="X12">
        <v>60</v>
      </c>
      <c r="Y12" t="s">
        <v>101</v>
      </c>
      <c r="Z12" t="s">
        <v>145</v>
      </c>
      <c r="AA12" s="18"/>
      <c r="AB12" s="18"/>
    </row>
    <row r="13" spans="1:31" ht="17">
      <c r="A13">
        <v>4</v>
      </c>
      <c r="B13">
        <v>79845024</v>
      </c>
      <c r="C13" t="s">
        <v>261</v>
      </c>
      <c r="D13" t="s">
        <v>245</v>
      </c>
      <c r="E13" t="s">
        <v>239</v>
      </c>
      <c r="F13" t="s">
        <v>46</v>
      </c>
      <c r="G13" t="s">
        <v>90</v>
      </c>
      <c r="H13" s="20" t="s">
        <v>232</v>
      </c>
      <c r="I13" t="s">
        <v>40</v>
      </c>
      <c r="J13" t="s">
        <v>52</v>
      </c>
      <c r="K13">
        <v>480</v>
      </c>
      <c r="L13" s="22">
        <f t="shared" si="0"/>
        <v>2112</v>
      </c>
      <c r="M13" t="s">
        <v>285</v>
      </c>
      <c r="N13" t="s">
        <v>303</v>
      </c>
      <c r="O13">
        <v>2</v>
      </c>
      <c r="P13">
        <f t="shared" si="1"/>
        <v>10000</v>
      </c>
      <c r="Q13" s="12">
        <f t="shared" si="2"/>
        <v>100</v>
      </c>
      <c r="R13" s="10">
        <f t="shared" si="3"/>
        <v>4.7348484848484844</v>
      </c>
      <c r="S13" s="18">
        <v>1.3</v>
      </c>
      <c r="T13" t="s">
        <v>299</v>
      </c>
      <c r="U13" t="s">
        <v>94</v>
      </c>
      <c r="V13" t="s">
        <v>332</v>
      </c>
      <c r="X13">
        <v>60</v>
      </c>
      <c r="Y13" t="s">
        <v>100</v>
      </c>
      <c r="Z13" t="s">
        <v>162</v>
      </c>
      <c r="AA13" s="18"/>
      <c r="AB13" s="18"/>
    </row>
    <row r="14" spans="1:31" ht="17">
      <c r="A14">
        <v>1</v>
      </c>
      <c r="B14">
        <v>144916728</v>
      </c>
      <c r="C14" t="s">
        <v>248</v>
      </c>
      <c r="D14" t="s">
        <v>245</v>
      </c>
      <c r="E14" t="s">
        <v>240</v>
      </c>
      <c r="F14" t="s">
        <v>42</v>
      </c>
      <c r="G14" t="s">
        <v>91</v>
      </c>
      <c r="H14" s="20" t="s">
        <v>233</v>
      </c>
      <c r="I14" t="s">
        <v>37</v>
      </c>
      <c r="J14" t="s">
        <v>52</v>
      </c>
      <c r="K14">
        <v>466.5</v>
      </c>
      <c r="L14" s="22">
        <f t="shared" si="0"/>
        <v>2052.6</v>
      </c>
      <c r="M14" t="s">
        <v>286</v>
      </c>
      <c r="N14" t="s">
        <v>303</v>
      </c>
      <c r="O14">
        <v>2</v>
      </c>
      <c r="P14">
        <f t="shared" si="1"/>
        <v>10000</v>
      </c>
      <c r="Q14" s="12">
        <f t="shared" si="2"/>
        <v>100</v>
      </c>
      <c r="R14" s="10">
        <f t="shared" si="3"/>
        <v>4.8718698236383124</v>
      </c>
      <c r="S14" s="18">
        <v>0.8</v>
      </c>
      <c r="T14" t="s">
        <v>299</v>
      </c>
      <c r="U14" t="s">
        <v>94</v>
      </c>
      <c r="V14" t="s">
        <v>329</v>
      </c>
      <c r="W14" t="s">
        <v>287</v>
      </c>
      <c r="X14">
        <v>58</v>
      </c>
      <c r="Y14" t="s">
        <v>101</v>
      </c>
      <c r="Z14" t="s">
        <v>135</v>
      </c>
      <c r="AA14" s="18"/>
      <c r="AB14" s="18"/>
    </row>
    <row r="15" spans="1:31" ht="17">
      <c r="A15">
        <v>3</v>
      </c>
      <c r="B15">
        <v>178921553</v>
      </c>
      <c r="C15" t="s">
        <v>254</v>
      </c>
      <c r="D15" t="s">
        <v>240</v>
      </c>
      <c r="E15" t="s">
        <v>239</v>
      </c>
      <c r="F15" s="13" t="s">
        <v>5</v>
      </c>
      <c r="G15" s="13" t="s">
        <v>74</v>
      </c>
      <c r="H15" s="21" t="s">
        <v>268</v>
      </c>
      <c r="I15" s="13" t="s">
        <v>76</v>
      </c>
      <c r="J15" s="13" t="s">
        <v>4</v>
      </c>
      <c r="K15">
        <v>238.5</v>
      </c>
      <c r="L15" s="22">
        <f t="shared" si="0"/>
        <v>1049.4000000000001</v>
      </c>
      <c r="M15" t="s">
        <v>285</v>
      </c>
      <c r="N15" t="s">
        <v>303</v>
      </c>
      <c r="O15">
        <v>8</v>
      </c>
      <c r="P15">
        <f t="shared" si="1"/>
        <v>40000</v>
      </c>
      <c r="Q15" s="12">
        <f t="shared" si="2"/>
        <v>400</v>
      </c>
      <c r="R15" s="10">
        <f t="shared" si="3"/>
        <v>38.117019249094717</v>
      </c>
      <c r="S15" s="18">
        <v>3.1</v>
      </c>
      <c r="T15" t="s">
        <v>301</v>
      </c>
      <c r="U15" t="s">
        <v>93</v>
      </c>
      <c r="V15" s="13" t="s">
        <v>75</v>
      </c>
      <c r="W15" s="13"/>
      <c r="X15" s="17">
        <v>60</v>
      </c>
      <c r="Y15" s="13" t="s">
        <v>100</v>
      </c>
      <c r="Z15" t="s">
        <v>152</v>
      </c>
      <c r="AA15" s="18"/>
      <c r="AB15" s="18"/>
    </row>
    <row r="16" spans="1:31" ht="17">
      <c r="A16">
        <v>3</v>
      </c>
      <c r="B16">
        <v>178927980</v>
      </c>
      <c r="C16" t="s">
        <v>255</v>
      </c>
      <c r="D16" t="s">
        <v>240</v>
      </c>
      <c r="E16" t="s">
        <v>245</v>
      </c>
      <c r="F16" s="1" t="s">
        <v>5</v>
      </c>
      <c r="G16" s="1" t="s">
        <v>29</v>
      </c>
      <c r="H16" s="21" t="s">
        <v>234</v>
      </c>
      <c r="I16" s="1" t="s">
        <v>30</v>
      </c>
      <c r="J16" s="1" t="s">
        <v>4</v>
      </c>
      <c r="K16">
        <v>77.150000000000006</v>
      </c>
      <c r="L16" s="22">
        <f t="shared" si="0"/>
        <v>339.46000000000004</v>
      </c>
      <c r="M16" t="s">
        <v>288</v>
      </c>
      <c r="N16" t="s">
        <v>303</v>
      </c>
      <c r="O16">
        <v>1</v>
      </c>
      <c r="P16">
        <f t="shared" si="1"/>
        <v>5000</v>
      </c>
      <c r="Q16" s="12">
        <f t="shared" si="2"/>
        <v>50</v>
      </c>
      <c r="R16" s="10">
        <f t="shared" si="3"/>
        <v>14.729275908796321</v>
      </c>
      <c r="S16" s="18">
        <v>1.1000000000000001</v>
      </c>
      <c r="T16" t="s">
        <v>299</v>
      </c>
      <c r="U16" t="s">
        <v>93</v>
      </c>
      <c r="V16" s="13" t="s">
        <v>324</v>
      </c>
      <c r="X16">
        <v>60</v>
      </c>
      <c r="Y16" s="13" t="s">
        <v>100</v>
      </c>
      <c r="Z16" t="s">
        <v>154</v>
      </c>
      <c r="AA16" s="18"/>
      <c r="AB16" s="18"/>
      <c r="AE16" s="15"/>
    </row>
    <row r="17" spans="1:34" s="15" customFormat="1" ht="17">
      <c r="A17">
        <v>3</v>
      </c>
      <c r="B17">
        <v>178928079</v>
      </c>
      <c r="C17" t="s">
        <v>256</v>
      </c>
      <c r="D17" t="s">
        <v>242</v>
      </c>
      <c r="E17" t="s">
        <v>239</v>
      </c>
      <c r="F17" s="1" t="s">
        <v>5</v>
      </c>
      <c r="G17" t="s">
        <v>86</v>
      </c>
      <c r="H17" s="20" t="s">
        <v>83</v>
      </c>
      <c r="I17" t="s">
        <v>95</v>
      </c>
      <c r="J17" t="s">
        <v>4</v>
      </c>
      <c r="K17">
        <v>145</v>
      </c>
      <c r="L17" s="22">
        <f t="shared" si="0"/>
        <v>638</v>
      </c>
      <c r="M17" t="s">
        <v>286</v>
      </c>
      <c r="N17" t="s">
        <v>283</v>
      </c>
      <c r="O17">
        <v>2</v>
      </c>
      <c r="P17">
        <f t="shared" si="1"/>
        <v>10000</v>
      </c>
      <c r="Q17" s="12">
        <f t="shared" si="2"/>
        <v>100</v>
      </c>
      <c r="R17" s="10">
        <f t="shared" si="3"/>
        <v>15.67398119122257</v>
      </c>
      <c r="S17" s="18">
        <v>1.8</v>
      </c>
      <c r="T17" t="s">
        <v>299</v>
      </c>
      <c r="U17" t="s">
        <v>118</v>
      </c>
      <c r="V17" s="13" t="s">
        <v>323</v>
      </c>
      <c r="W17"/>
      <c r="X17">
        <v>62</v>
      </c>
      <c r="Y17" s="13" t="s">
        <v>99</v>
      </c>
      <c r="Z17" s="13" t="s">
        <v>222</v>
      </c>
      <c r="AA17" s="18"/>
      <c r="AB17" s="18"/>
      <c r="AC17"/>
      <c r="AD17"/>
      <c r="AE17"/>
      <c r="AF17"/>
      <c r="AG17"/>
      <c r="AH17"/>
    </row>
    <row r="18" spans="1:34" ht="17">
      <c r="A18">
        <v>3</v>
      </c>
      <c r="B18">
        <v>178936082</v>
      </c>
      <c r="C18" t="s">
        <v>257</v>
      </c>
      <c r="D18" t="s">
        <v>242</v>
      </c>
      <c r="E18" t="s">
        <v>239</v>
      </c>
      <c r="F18" s="1" t="s">
        <v>5</v>
      </c>
      <c r="G18" s="1" t="s">
        <v>14</v>
      </c>
      <c r="H18" s="21" t="s">
        <v>235</v>
      </c>
      <c r="I18" s="1" t="s">
        <v>15</v>
      </c>
      <c r="J18" s="1" t="s">
        <v>4</v>
      </c>
      <c r="K18">
        <v>76</v>
      </c>
      <c r="L18" s="22">
        <f t="shared" si="0"/>
        <v>334.4</v>
      </c>
      <c r="M18" t="s">
        <v>286</v>
      </c>
      <c r="N18" t="s">
        <v>303</v>
      </c>
      <c r="O18">
        <v>1</v>
      </c>
      <c r="P18">
        <f t="shared" si="1"/>
        <v>5000</v>
      </c>
      <c r="Q18" s="12">
        <f t="shared" si="2"/>
        <v>50</v>
      </c>
      <c r="R18" s="10">
        <f t="shared" si="3"/>
        <v>14.952153110047847</v>
      </c>
      <c r="S18" s="18">
        <v>0.6</v>
      </c>
      <c r="T18" t="s">
        <v>299</v>
      </c>
      <c r="U18" t="s">
        <v>93</v>
      </c>
      <c r="V18" s="13" t="s">
        <v>322</v>
      </c>
      <c r="W18" t="s">
        <v>81</v>
      </c>
      <c r="X18">
        <v>60</v>
      </c>
      <c r="Y18" s="13" t="s">
        <v>100</v>
      </c>
      <c r="Z18" t="s">
        <v>155</v>
      </c>
      <c r="AA18" s="18"/>
      <c r="AB18" s="18"/>
    </row>
    <row r="19" spans="1:34" ht="17">
      <c r="A19">
        <v>3</v>
      </c>
      <c r="B19">
        <v>178936092</v>
      </c>
      <c r="C19" t="s">
        <v>259</v>
      </c>
      <c r="D19" t="s">
        <v>239</v>
      </c>
      <c r="E19" t="s">
        <v>242</v>
      </c>
      <c r="F19" s="1" t="s">
        <v>5</v>
      </c>
      <c r="G19" s="1" t="s">
        <v>25</v>
      </c>
      <c r="H19" s="21" t="s">
        <v>236</v>
      </c>
      <c r="I19" s="2" t="s">
        <v>26</v>
      </c>
      <c r="J19" s="1" t="s">
        <v>4</v>
      </c>
      <c r="K19">
        <v>52.9</v>
      </c>
      <c r="L19" s="22">
        <f t="shared" si="0"/>
        <v>232.76</v>
      </c>
      <c r="M19" t="s">
        <v>288</v>
      </c>
      <c r="N19" t="s">
        <v>289</v>
      </c>
      <c r="O19">
        <v>1</v>
      </c>
      <c r="P19">
        <f t="shared" si="1"/>
        <v>5000</v>
      </c>
      <c r="Q19" s="12">
        <f t="shared" si="2"/>
        <v>50</v>
      </c>
      <c r="R19" s="10">
        <f t="shared" si="3"/>
        <v>21.481354184567795</v>
      </c>
      <c r="S19" s="18">
        <v>2.1</v>
      </c>
      <c r="T19" t="s">
        <v>301</v>
      </c>
      <c r="U19" t="s">
        <v>93</v>
      </c>
      <c r="V19" s="13" t="s">
        <v>321</v>
      </c>
      <c r="W19" t="s">
        <v>97</v>
      </c>
      <c r="X19">
        <v>60</v>
      </c>
      <c r="Y19" s="13" t="s">
        <v>99</v>
      </c>
      <c r="Z19" t="s">
        <v>155</v>
      </c>
      <c r="AA19" s="18"/>
      <c r="AB19" s="18"/>
    </row>
    <row r="20" spans="1:34" ht="17">
      <c r="A20">
        <v>3</v>
      </c>
      <c r="B20">
        <v>178936091</v>
      </c>
      <c r="C20" t="s">
        <v>258</v>
      </c>
      <c r="D20" t="s">
        <v>242</v>
      </c>
      <c r="E20" t="s">
        <v>239</v>
      </c>
      <c r="F20" s="1" t="s">
        <v>5</v>
      </c>
      <c r="G20" s="1" t="s">
        <v>8</v>
      </c>
      <c r="H20" s="21" t="s">
        <v>237</v>
      </c>
      <c r="I20" s="1" t="s">
        <v>9</v>
      </c>
      <c r="J20" s="1" t="s">
        <v>4</v>
      </c>
      <c r="K20">
        <v>368</v>
      </c>
      <c r="L20" s="22">
        <f t="shared" si="0"/>
        <v>1619.2</v>
      </c>
      <c r="M20" t="s">
        <v>282</v>
      </c>
      <c r="N20" t="s">
        <v>290</v>
      </c>
      <c r="O20">
        <v>2</v>
      </c>
      <c r="P20">
        <f t="shared" si="1"/>
        <v>10000</v>
      </c>
      <c r="Q20" s="12">
        <f t="shared" si="2"/>
        <v>100</v>
      </c>
      <c r="R20" s="10">
        <f t="shared" si="3"/>
        <v>6.1758893280632412</v>
      </c>
      <c r="S20" s="18">
        <v>1.9</v>
      </c>
      <c r="T20" t="s">
        <v>299</v>
      </c>
      <c r="U20" t="s">
        <v>118</v>
      </c>
      <c r="V20" s="13" t="s">
        <v>320</v>
      </c>
      <c r="W20" t="s">
        <v>81</v>
      </c>
      <c r="X20">
        <v>60</v>
      </c>
      <c r="Y20" s="13" t="s">
        <v>100</v>
      </c>
      <c r="Z20" t="s">
        <v>155</v>
      </c>
      <c r="AA20" s="18"/>
      <c r="AB20" s="18"/>
    </row>
    <row r="21" spans="1:34" ht="17">
      <c r="A21">
        <v>3</v>
      </c>
      <c r="B21">
        <v>178952085</v>
      </c>
      <c r="C21" t="s">
        <v>260</v>
      </c>
      <c r="D21" t="s">
        <v>239</v>
      </c>
      <c r="E21" t="s">
        <v>242</v>
      </c>
      <c r="F21" s="1" t="s">
        <v>5</v>
      </c>
      <c r="G21" s="1" t="s">
        <v>6</v>
      </c>
      <c r="H21" s="21" t="s">
        <v>227</v>
      </c>
      <c r="I21" s="1" t="s">
        <v>7</v>
      </c>
      <c r="J21" s="1" t="s">
        <v>4</v>
      </c>
      <c r="K21">
        <v>167.8</v>
      </c>
      <c r="L21" s="22">
        <f t="shared" si="0"/>
        <v>738.32</v>
      </c>
      <c r="M21" t="s">
        <v>286</v>
      </c>
      <c r="N21" t="s">
        <v>303</v>
      </c>
      <c r="O21">
        <v>0.5</v>
      </c>
      <c r="P21">
        <f t="shared" si="1"/>
        <v>2500</v>
      </c>
      <c r="Q21" s="12">
        <f t="shared" si="2"/>
        <v>25</v>
      </c>
      <c r="R21" s="10">
        <f t="shared" si="3"/>
        <v>3.3860656625853287</v>
      </c>
      <c r="S21" s="18">
        <v>0.6</v>
      </c>
      <c r="T21" t="s">
        <v>299</v>
      </c>
      <c r="U21" t="s">
        <v>118</v>
      </c>
      <c r="V21" t="s">
        <v>319</v>
      </c>
      <c r="X21">
        <v>60</v>
      </c>
      <c r="Y21" s="13" t="s">
        <v>100</v>
      </c>
      <c r="Z21" t="s">
        <v>159</v>
      </c>
      <c r="AA21" s="18"/>
      <c r="AB21" s="18"/>
    </row>
    <row r="22" spans="1:34" ht="17">
      <c r="A22">
        <v>12</v>
      </c>
      <c r="B22">
        <v>112926899</v>
      </c>
      <c r="C22" t="s">
        <v>262</v>
      </c>
      <c r="D22" t="s">
        <v>239</v>
      </c>
      <c r="E22" t="s">
        <v>242</v>
      </c>
      <c r="F22" s="1" t="s">
        <v>98</v>
      </c>
      <c r="G22" s="1" t="s">
        <v>103</v>
      </c>
      <c r="H22" s="20" t="s">
        <v>116</v>
      </c>
      <c r="I22" t="s">
        <v>304</v>
      </c>
      <c r="J22" t="s">
        <v>4</v>
      </c>
      <c r="K22">
        <v>557.5</v>
      </c>
      <c r="L22" s="22">
        <f t="shared" si="0"/>
        <v>2453</v>
      </c>
      <c r="M22" t="s">
        <v>288</v>
      </c>
      <c r="N22" t="s">
        <v>303</v>
      </c>
      <c r="O22">
        <v>2</v>
      </c>
      <c r="P22">
        <f t="shared" si="1"/>
        <v>10000</v>
      </c>
      <c r="Q22" s="12">
        <f t="shared" si="2"/>
        <v>100</v>
      </c>
      <c r="R22" s="10">
        <f t="shared" si="3"/>
        <v>4.0766408479412961</v>
      </c>
      <c r="S22" s="18">
        <v>5.9</v>
      </c>
      <c r="T22" t="s">
        <v>299</v>
      </c>
      <c r="U22" t="s">
        <v>117</v>
      </c>
      <c r="V22" s="1" t="s">
        <v>272</v>
      </c>
      <c r="W22" s="1" t="s">
        <v>273</v>
      </c>
      <c r="X22" s="1">
        <v>60</v>
      </c>
      <c r="Y22" t="s">
        <v>100</v>
      </c>
      <c r="Z22" t="s">
        <v>191</v>
      </c>
      <c r="AA22" s="18"/>
      <c r="AB22" s="18"/>
    </row>
    <row r="23" spans="1:34">
      <c r="F23" s="5" t="s">
        <v>298</v>
      </c>
      <c r="J23"/>
      <c r="K23">
        <v>608.4</v>
      </c>
      <c r="L23" s="22">
        <f>K23*AD7/6.6*22/5</f>
        <v>30338.880000000005</v>
      </c>
      <c r="M23" t="s">
        <v>291</v>
      </c>
      <c r="O23">
        <v>100</v>
      </c>
      <c r="P23">
        <f>$AD$5</f>
        <v>500000</v>
      </c>
      <c r="Q23" s="12">
        <f t="shared" ref="Q23" si="4">P23/$AD$6*5</f>
        <v>5000</v>
      </c>
      <c r="R23" s="10">
        <f t="shared" si="3"/>
        <v>16.480502905842268</v>
      </c>
      <c r="S23" s="18"/>
      <c r="T23" s="10"/>
      <c r="V23" s="18"/>
    </row>
    <row r="24" spans="1:34">
      <c r="F24" s="5" t="s">
        <v>297</v>
      </c>
      <c r="J24"/>
      <c r="L24" s="22">
        <v>10000</v>
      </c>
      <c r="Q24" s="12"/>
      <c r="R24" s="10">
        <f>(100/L24*R26)</f>
        <v>5</v>
      </c>
      <c r="S24" s="18"/>
      <c r="T24" s="10"/>
      <c r="V24" s="18"/>
    </row>
    <row r="25" spans="1:34">
      <c r="F25" s="5" t="s">
        <v>226</v>
      </c>
      <c r="J25"/>
      <c r="R25" s="10">
        <f>R26-(SUM(R2:R24))</f>
        <v>242.95627839544738</v>
      </c>
      <c r="S25" s="18"/>
      <c r="T25" s="10"/>
      <c r="V25" s="18"/>
    </row>
    <row r="26" spans="1:34">
      <c r="F26" t="s">
        <v>59</v>
      </c>
      <c r="J26"/>
      <c r="R26">
        <f>$AD$6</f>
        <v>500</v>
      </c>
    </row>
    <row r="28" spans="1:34">
      <c r="B28" s="16"/>
      <c r="C28" s="19"/>
      <c r="E28" s="16"/>
    </row>
    <row r="35" spans="2:14">
      <c r="B35" s="1"/>
      <c r="C35" s="1"/>
      <c r="D35" s="1"/>
      <c r="E35" s="1"/>
      <c r="F35" s="4"/>
      <c r="H35" s="1"/>
    </row>
    <row r="36" spans="2:14">
      <c r="B36" s="13"/>
      <c r="C36" s="13"/>
      <c r="D36" s="13"/>
      <c r="E36" s="13"/>
      <c r="F36" s="14"/>
      <c r="H36" s="13"/>
      <c r="J36" s="17"/>
      <c r="M36" s="13"/>
      <c r="N36" s="13"/>
    </row>
    <row r="37" spans="2:14">
      <c r="B37" s="1"/>
      <c r="C37" s="1"/>
      <c r="D37" s="1"/>
      <c r="E37" s="1"/>
      <c r="F37" s="1"/>
      <c r="H37" s="1"/>
    </row>
  </sheetData>
  <sortState ref="A2:E23">
    <sortCondition ref="C2:C2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35F0-C9FD-AC47-B05E-89876790D3D1}">
  <dimension ref="A1:F22"/>
  <sheetViews>
    <sheetView workbookViewId="0">
      <selection activeCell="H4" sqref="H4"/>
    </sheetView>
  </sheetViews>
  <sheetFormatPr baseColWidth="10" defaultRowHeight="16"/>
  <cols>
    <col min="3" max="3" width="12.6640625" customWidth="1"/>
    <col min="4" max="4" width="16.6640625" customWidth="1"/>
    <col min="5" max="5" width="62.6640625" customWidth="1"/>
  </cols>
  <sheetData>
    <row r="1" spans="1:6">
      <c r="A1" s="22" t="s">
        <v>0</v>
      </c>
      <c r="B1" s="22" t="s">
        <v>1</v>
      </c>
      <c r="C1" s="22" t="s">
        <v>3</v>
      </c>
      <c r="D1" s="22" t="s">
        <v>2</v>
      </c>
      <c r="E1" s="22" t="s">
        <v>11</v>
      </c>
      <c r="F1" s="22" t="s">
        <v>32</v>
      </c>
    </row>
    <row r="2" spans="1:6" ht="170">
      <c r="A2" s="1" t="s">
        <v>77</v>
      </c>
      <c r="B2" t="s">
        <v>110</v>
      </c>
      <c r="C2" s="8" t="s">
        <v>115</v>
      </c>
      <c r="D2" t="s">
        <v>305</v>
      </c>
      <c r="E2" s="11" t="s">
        <v>306</v>
      </c>
    </row>
    <row r="3" spans="1:6" ht="170">
      <c r="A3" t="s">
        <v>45</v>
      </c>
      <c r="B3" t="s">
        <v>50</v>
      </c>
      <c r="C3" t="s">
        <v>41</v>
      </c>
      <c r="D3" t="s">
        <v>52</v>
      </c>
      <c r="E3" s="11" t="s">
        <v>57</v>
      </c>
    </row>
    <row r="4" spans="1:6" ht="170">
      <c r="A4" s="1" t="s">
        <v>21</v>
      </c>
      <c r="B4" s="1" t="s">
        <v>22</v>
      </c>
      <c r="C4" s="1" t="s">
        <v>23</v>
      </c>
      <c r="D4" s="1" t="s">
        <v>4</v>
      </c>
      <c r="E4" s="3" t="s">
        <v>24</v>
      </c>
      <c r="F4" s="1"/>
    </row>
    <row r="5" spans="1:6" ht="170">
      <c r="A5" t="s">
        <v>44</v>
      </c>
      <c r="B5" t="s">
        <v>49</v>
      </c>
      <c r="C5" t="s">
        <v>39</v>
      </c>
      <c r="D5" t="s">
        <v>52</v>
      </c>
      <c r="E5" s="11" t="s">
        <v>55</v>
      </c>
    </row>
    <row r="6" spans="1:6" ht="170">
      <c r="A6" s="1" t="s">
        <v>307</v>
      </c>
      <c r="B6" t="s">
        <v>112</v>
      </c>
      <c r="D6" s="1" t="s">
        <v>305</v>
      </c>
      <c r="E6" s="24" t="s">
        <v>306</v>
      </c>
    </row>
    <row r="7" spans="1:6" ht="170">
      <c r="A7" s="1" t="s">
        <v>307</v>
      </c>
      <c r="B7" t="s">
        <v>102</v>
      </c>
      <c r="D7" s="1" t="s">
        <v>4</v>
      </c>
      <c r="E7" s="11" t="s">
        <v>314</v>
      </c>
    </row>
    <row r="8" spans="1:6" ht="170">
      <c r="A8" s="1" t="s">
        <v>20</v>
      </c>
      <c r="B8" t="s">
        <v>34</v>
      </c>
      <c r="C8" t="s">
        <v>36</v>
      </c>
      <c r="D8" s="1" t="s">
        <v>305</v>
      </c>
      <c r="E8" s="6" t="s">
        <v>35</v>
      </c>
    </row>
    <row r="9" spans="1:6" ht="170">
      <c r="A9" s="1" t="s">
        <v>307</v>
      </c>
      <c r="B9" t="s">
        <v>107</v>
      </c>
      <c r="C9" s="8"/>
      <c r="D9" s="1" t="s">
        <v>305</v>
      </c>
      <c r="E9" s="6" t="s">
        <v>308</v>
      </c>
      <c r="F9" s="7"/>
    </row>
    <row r="10" spans="1:6" ht="170">
      <c r="A10" t="s">
        <v>309</v>
      </c>
      <c r="B10" t="s">
        <v>310</v>
      </c>
      <c r="D10" s="1" t="s">
        <v>305</v>
      </c>
      <c r="E10" s="6" t="s">
        <v>311</v>
      </c>
    </row>
    <row r="11" spans="1:6" ht="238">
      <c r="A11" s="1" t="s">
        <v>16</v>
      </c>
      <c r="B11" s="1" t="s">
        <v>17</v>
      </c>
      <c r="C11" s="1" t="s">
        <v>18</v>
      </c>
      <c r="D11" s="1" t="s">
        <v>4</v>
      </c>
      <c r="E11" s="3" t="s">
        <v>19</v>
      </c>
    </row>
    <row r="12" spans="1:6" ht="170">
      <c r="A12" t="s">
        <v>43</v>
      </c>
      <c r="B12" t="s">
        <v>48</v>
      </c>
      <c r="C12" s="9" t="s">
        <v>38</v>
      </c>
      <c r="D12" t="s">
        <v>52</v>
      </c>
      <c r="E12" s="3" t="s">
        <v>56</v>
      </c>
    </row>
    <row r="13" spans="1:6" ht="170">
      <c r="A13" t="s">
        <v>46</v>
      </c>
      <c r="B13" t="s">
        <v>51</v>
      </c>
      <c r="C13" t="s">
        <v>40</v>
      </c>
      <c r="D13" t="s">
        <v>52</v>
      </c>
      <c r="E13" s="11" t="s">
        <v>54</v>
      </c>
    </row>
    <row r="14" spans="1:6" ht="170">
      <c r="A14" t="s">
        <v>42</v>
      </c>
      <c r="B14" t="s">
        <v>47</v>
      </c>
      <c r="C14" t="s">
        <v>37</v>
      </c>
      <c r="D14" t="s">
        <v>52</v>
      </c>
      <c r="E14" s="3" t="s">
        <v>58</v>
      </c>
    </row>
    <row r="15" spans="1:6" ht="170">
      <c r="A15" s="13" t="s">
        <v>5</v>
      </c>
      <c r="B15" s="13" t="s">
        <v>312</v>
      </c>
      <c r="C15" s="13" t="s">
        <v>76</v>
      </c>
      <c r="D15" s="1" t="s">
        <v>4</v>
      </c>
      <c r="E15" s="3" t="s">
        <v>313</v>
      </c>
    </row>
    <row r="16" spans="1:6" ht="170">
      <c r="A16" s="1" t="s">
        <v>5</v>
      </c>
      <c r="B16" s="1" t="s">
        <v>29</v>
      </c>
      <c r="C16" s="1" t="s">
        <v>30</v>
      </c>
      <c r="D16" s="1" t="s">
        <v>4</v>
      </c>
      <c r="E16" s="3" t="s">
        <v>31</v>
      </c>
    </row>
    <row r="17" spans="1:6" ht="119">
      <c r="A17" s="1" t="s">
        <v>5</v>
      </c>
      <c r="B17" t="s">
        <v>315</v>
      </c>
      <c r="C17" t="s">
        <v>95</v>
      </c>
      <c r="D17" s="1" t="s">
        <v>4</v>
      </c>
      <c r="E17" s="3" t="s">
        <v>316</v>
      </c>
    </row>
    <row r="18" spans="1:6" ht="238">
      <c r="A18" s="1" t="s">
        <v>5</v>
      </c>
      <c r="B18" s="1" t="s">
        <v>14</v>
      </c>
      <c r="C18" s="1" t="s">
        <v>15</v>
      </c>
      <c r="D18" s="1" t="s">
        <v>4</v>
      </c>
      <c r="E18" s="3" t="s">
        <v>13</v>
      </c>
    </row>
    <row r="19" spans="1:6" ht="238">
      <c r="A19" s="1" t="s">
        <v>5</v>
      </c>
      <c r="B19" s="1" t="s">
        <v>25</v>
      </c>
      <c r="C19" s="2" t="s">
        <v>26</v>
      </c>
      <c r="D19" s="1" t="s">
        <v>4</v>
      </c>
      <c r="E19" s="3" t="s">
        <v>27</v>
      </c>
      <c r="F19" t="s">
        <v>33</v>
      </c>
    </row>
    <row r="20" spans="1:6" ht="238">
      <c r="A20" s="1" t="s">
        <v>5</v>
      </c>
      <c r="B20" s="1" t="s">
        <v>8</v>
      </c>
      <c r="C20" s="1" t="s">
        <v>9</v>
      </c>
      <c r="D20" s="1" t="s">
        <v>4</v>
      </c>
      <c r="E20" s="3" t="s">
        <v>28</v>
      </c>
      <c r="F20" t="s">
        <v>33</v>
      </c>
    </row>
    <row r="21" spans="1:6" ht="255">
      <c r="A21" s="1" t="s">
        <v>5</v>
      </c>
      <c r="B21" s="1" t="s">
        <v>6</v>
      </c>
      <c r="C21" s="1" t="s">
        <v>7</v>
      </c>
      <c r="D21" s="1" t="s">
        <v>4</v>
      </c>
      <c r="E21" s="3" t="s">
        <v>12</v>
      </c>
    </row>
    <row r="22" spans="1:6">
      <c r="A22" s="1" t="s">
        <v>98</v>
      </c>
      <c r="B22" s="1" t="s">
        <v>317</v>
      </c>
      <c r="C22" t="s">
        <v>304</v>
      </c>
      <c r="D22" t="s">
        <v>4</v>
      </c>
      <c r="E22" t="s">
        <v>318</v>
      </c>
    </row>
  </sheetData>
  <sortState ref="A2:F22">
    <sortCondition ref="A2:A22"/>
    <sortCondition ref="B2:B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229D-29A1-4B41-80FA-F15A6C92B449}">
  <dimension ref="A1:D94"/>
  <sheetViews>
    <sheetView workbookViewId="0">
      <selection activeCell="M53" sqref="M53"/>
    </sheetView>
  </sheetViews>
  <sheetFormatPr baseColWidth="10" defaultRowHeight="16"/>
  <sheetData>
    <row r="1" spans="1:4">
      <c r="A1" t="s">
        <v>65</v>
      </c>
      <c r="B1">
        <v>9781822</v>
      </c>
      <c r="C1">
        <v>9781900</v>
      </c>
      <c r="D1" t="s">
        <v>119</v>
      </c>
    </row>
    <row r="2" spans="1:4">
      <c r="A2" t="s">
        <v>65</v>
      </c>
      <c r="B2">
        <v>11109267</v>
      </c>
      <c r="C2">
        <v>11109369</v>
      </c>
      <c r="D2" t="s">
        <v>120</v>
      </c>
    </row>
    <row r="3" spans="1:4">
      <c r="A3" t="s">
        <v>65</v>
      </c>
      <c r="B3">
        <v>11169341</v>
      </c>
      <c r="C3">
        <v>11169422</v>
      </c>
      <c r="D3" t="s">
        <v>121</v>
      </c>
    </row>
    <row r="4" spans="1:4">
      <c r="A4" t="s">
        <v>65</v>
      </c>
      <c r="B4">
        <v>11174378</v>
      </c>
      <c r="C4">
        <v>11174470</v>
      </c>
      <c r="D4" t="s">
        <v>122</v>
      </c>
    </row>
    <row r="5" spans="1:4">
      <c r="A5" t="s">
        <v>65</v>
      </c>
      <c r="B5">
        <v>11184533</v>
      </c>
      <c r="C5">
        <v>11184646</v>
      </c>
      <c r="D5" t="s">
        <v>123</v>
      </c>
    </row>
    <row r="6" spans="1:4">
      <c r="A6" t="s">
        <v>65</v>
      </c>
      <c r="B6">
        <v>11187792</v>
      </c>
      <c r="C6">
        <v>11187887</v>
      </c>
      <c r="D6" t="s">
        <v>124</v>
      </c>
    </row>
    <row r="7" spans="1:4">
      <c r="A7" t="s">
        <v>65</v>
      </c>
      <c r="B7">
        <v>11188124</v>
      </c>
      <c r="C7">
        <v>11188208</v>
      </c>
      <c r="D7" t="s">
        <v>125</v>
      </c>
    </row>
    <row r="8" spans="1:4">
      <c r="A8" t="s">
        <v>65</v>
      </c>
      <c r="B8">
        <v>11189780</v>
      </c>
      <c r="C8">
        <v>11189869</v>
      </c>
      <c r="D8" t="s">
        <v>126</v>
      </c>
    </row>
    <row r="9" spans="1:4">
      <c r="A9" t="s">
        <v>65</v>
      </c>
      <c r="B9">
        <v>11199315</v>
      </c>
      <c r="C9">
        <v>11199419</v>
      </c>
      <c r="D9" t="s">
        <v>127</v>
      </c>
    </row>
    <row r="10" spans="1:4">
      <c r="A10" t="s">
        <v>65</v>
      </c>
      <c r="B10">
        <v>11210129</v>
      </c>
      <c r="C10">
        <v>11210229</v>
      </c>
      <c r="D10" t="s">
        <v>128</v>
      </c>
    </row>
    <row r="11" spans="1:4">
      <c r="A11" t="s">
        <v>65</v>
      </c>
      <c r="B11">
        <v>11217203</v>
      </c>
      <c r="C11">
        <v>11217318</v>
      </c>
      <c r="D11" t="s">
        <v>129</v>
      </c>
    </row>
    <row r="12" spans="1:4">
      <c r="A12" t="s">
        <v>65</v>
      </c>
      <c r="B12">
        <v>11217282</v>
      </c>
      <c r="C12">
        <v>11217352</v>
      </c>
      <c r="D12" t="s">
        <v>130</v>
      </c>
    </row>
    <row r="13" spans="1:4">
      <c r="A13" t="s">
        <v>65</v>
      </c>
      <c r="B13">
        <v>11298545</v>
      </c>
      <c r="C13">
        <v>11298649</v>
      </c>
      <c r="D13" t="s">
        <v>131</v>
      </c>
    </row>
    <row r="14" spans="1:4">
      <c r="A14" t="s">
        <v>65</v>
      </c>
      <c r="B14">
        <v>35259912</v>
      </c>
      <c r="C14">
        <v>35260006</v>
      </c>
      <c r="D14" t="s">
        <v>132</v>
      </c>
    </row>
    <row r="15" spans="1:4">
      <c r="A15" t="s">
        <v>65</v>
      </c>
      <c r="B15">
        <v>115252178</v>
      </c>
      <c r="C15">
        <v>115252275</v>
      </c>
      <c r="D15" t="s">
        <v>133</v>
      </c>
    </row>
    <row r="16" spans="1:4">
      <c r="A16" t="s">
        <v>65</v>
      </c>
      <c r="B16">
        <v>115256507</v>
      </c>
      <c r="C16">
        <v>115256584</v>
      </c>
      <c r="D16" t="s">
        <v>134</v>
      </c>
    </row>
    <row r="17" spans="1:4">
      <c r="A17" t="s">
        <v>65</v>
      </c>
      <c r="B17">
        <v>144916709</v>
      </c>
      <c r="C17">
        <v>144916800</v>
      </c>
      <c r="D17" t="s">
        <v>135</v>
      </c>
    </row>
    <row r="18" spans="1:4">
      <c r="A18" t="s">
        <v>65</v>
      </c>
      <c r="B18">
        <v>156642778</v>
      </c>
      <c r="C18">
        <v>156642861</v>
      </c>
      <c r="D18" t="s">
        <v>136</v>
      </c>
    </row>
    <row r="19" spans="1:4">
      <c r="A19" t="s">
        <v>65</v>
      </c>
      <c r="B19">
        <v>243668555</v>
      </c>
      <c r="C19">
        <v>243668641</v>
      </c>
      <c r="D19" t="s">
        <v>137</v>
      </c>
    </row>
    <row r="20" spans="1:4">
      <c r="A20" t="s">
        <v>65</v>
      </c>
      <c r="B20">
        <v>243716148</v>
      </c>
      <c r="C20">
        <v>243716243</v>
      </c>
      <c r="D20" t="s">
        <v>138</v>
      </c>
    </row>
    <row r="21" spans="1:4">
      <c r="A21" t="s">
        <v>65</v>
      </c>
      <c r="B21">
        <v>243858995</v>
      </c>
      <c r="C21">
        <v>243859091</v>
      </c>
      <c r="D21" t="s">
        <v>139</v>
      </c>
    </row>
    <row r="22" spans="1:4">
      <c r="A22" t="s">
        <v>66</v>
      </c>
      <c r="B22">
        <v>25470451</v>
      </c>
      <c r="C22">
        <v>25470539</v>
      </c>
      <c r="D22" t="s">
        <v>140</v>
      </c>
    </row>
    <row r="23" spans="1:4">
      <c r="A23" t="s">
        <v>66</v>
      </c>
      <c r="B23">
        <v>39278295</v>
      </c>
      <c r="C23">
        <v>39278366</v>
      </c>
      <c r="D23" t="s">
        <v>141</v>
      </c>
    </row>
    <row r="24" spans="1:4">
      <c r="A24" t="s">
        <v>66</v>
      </c>
      <c r="B24">
        <v>173427003</v>
      </c>
      <c r="C24">
        <v>173427115</v>
      </c>
      <c r="D24" t="s">
        <v>142</v>
      </c>
    </row>
    <row r="25" spans="1:4">
      <c r="A25" t="s">
        <v>66</v>
      </c>
      <c r="B25">
        <v>173429312</v>
      </c>
      <c r="C25">
        <v>173429424</v>
      </c>
      <c r="D25" t="s">
        <v>143</v>
      </c>
    </row>
    <row r="26" spans="1:4">
      <c r="A26" t="s">
        <v>66</v>
      </c>
      <c r="B26">
        <v>209113085</v>
      </c>
      <c r="C26">
        <v>209113165</v>
      </c>
      <c r="D26" t="s">
        <v>144</v>
      </c>
    </row>
    <row r="27" spans="1:4">
      <c r="A27" t="s">
        <v>66</v>
      </c>
      <c r="B27">
        <v>226447689</v>
      </c>
      <c r="C27">
        <v>226447796</v>
      </c>
      <c r="D27" t="s">
        <v>145</v>
      </c>
    </row>
    <row r="28" spans="1:4">
      <c r="A28" t="s">
        <v>67</v>
      </c>
      <c r="B28">
        <v>12613821</v>
      </c>
      <c r="C28">
        <v>12613935</v>
      </c>
      <c r="D28" t="s">
        <v>146</v>
      </c>
    </row>
    <row r="29" spans="1:4">
      <c r="A29" t="s">
        <v>67</v>
      </c>
      <c r="B29">
        <v>53222706</v>
      </c>
      <c r="C29">
        <v>53222802</v>
      </c>
      <c r="D29" t="s">
        <v>147</v>
      </c>
    </row>
    <row r="30" spans="1:4">
      <c r="A30" t="s">
        <v>67</v>
      </c>
      <c r="B30">
        <v>53777053</v>
      </c>
      <c r="C30">
        <v>53777127</v>
      </c>
      <c r="D30" t="s">
        <v>148</v>
      </c>
    </row>
    <row r="31" spans="1:4">
      <c r="A31" t="s">
        <v>67</v>
      </c>
      <c r="B31">
        <v>178916617</v>
      </c>
      <c r="C31">
        <v>178916728</v>
      </c>
      <c r="D31" t="s">
        <v>149</v>
      </c>
    </row>
    <row r="32" spans="1:4">
      <c r="A32" t="s">
        <v>67</v>
      </c>
      <c r="B32">
        <v>178916848</v>
      </c>
      <c r="C32">
        <v>178916949</v>
      </c>
      <c r="D32" t="s">
        <v>150</v>
      </c>
    </row>
    <row r="33" spans="1:4">
      <c r="A33" t="s">
        <v>67</v>
      </c>
      <c r="B33">
        <v>178917515</v>
      </c>
      <c r="C33">
        <v>178917588</v>
      </c>
      <c r="D33" t="s">
        <v>151</v>
      </c>
    </row>
    <row r="34" spans="1:4">
      <c r="A34" t="s">
        <v>67</v>
      </c>
      <c r="B34">
        <v>178921495</v>
      </c>
      <c r="C34">
        <v>178921568</v>
      </c>
      <c r="D34" t="s">
        <v>152</v>
      </c>
    </row>
    <row r="35" spans="1:4">
      <c r="A35" t="s">
        <v>67</v>
      </c>
      <c r="B35">
        <v>178922313</v>
      </c>
      <c r="C35">
        <v>178922403</v>
      </c>
      <c r="D35" t="s">
        <v>153</v>
      </c>
    </row>
    <row r="36" spans="1:4">
      <c r="A36" t="s">
        <v>67</v>
      </c>
      <c r="B36">
        <v>178927906</v>
      </c>
      <c r="C36">
        <v>178927993</v>
      </c>
      <c r="D36" t="s">
        <v>154</v>
      </c>
    </row>
    <row r="37" spans="1:4">
      <c r="A37" t="s">
        <v>67</v>
      </c>
      <c r="B37">
        <v>178936028</v>
      </c>
      <c r="C37">
        <v>178936113</v>
      </c>
      <c r="D37" t="s">
        <v>155</v>
      </c>
    </row>
    <row r="38" spans="1:4">
      <c r="A38" t="s">
        <v>67</v>
      </c>
      <c r="B38">
        <v>178938799</v>
      </c>
      <c r="C38">
        <v>178938880</v>
      </c>
      <c r="D38" t="s">
        <v>156</v>
      </c>
    </row>
    <row r="39" spans="1:4">
      <c r="A39" t="s">
        <v>67</v>
      </c>
      <c r="B39">
        <v>178938861</v>
      </c>
      <c r="C39">
        <v>178938946</v>
      </c>
      <c r="D39" t="s">
        <v>157</v>
      </c>
    </row>
    <row r="40" spans="1:4">
      <c r="A40" t="s">
        <v>67</v>
      </c>
      <c r="B40">
        <v>178947810</v>
      </c>
      <c r="C40">
        <v>178947894</v>
      </c>
      <c r="D40" t="s">
        <v>158</v>
      </c>
    </row>
    <row r="41" spans="1:4">
      <c r="A41" t="s">
        <v>67</v>
      </c>
      <c r="B41">
        <v>178952018</v>
      </c>
      <c r="C41">
        <v>178952090</v>
      </c>
      <c r="D41" t="s">
        <v>159</v>
      </c>
    </row>
    <row r="42" spans="1:4">
      <c r="A42" t="s">
        <v>67</v>
      </c>
      <c r="B42">
        <v>178952118</v>
      </c>
      <c r="C42">
        <v>178952189</v>
      </c>
      <c r="D42" t="s">
        <v>160</v>
      </c>
    </row>
    <row r="43" spans="1:4">
      <c r="A43" t="s">
        <v>67</v>
      </c>
      <c r="B43">
        <v>194366904</v>
      </c>
      <c r="C43">
        <v>194367020</v>
      </c>
      <c r="D43" t="s">
        <v>161</v>
      </c>
    </row>
    <row r="44" spans="1:4">
      <c r="A44" t="s">
        <v>68</v>
      </c>
      <c r="B44">
        <v>79844974</v>
      </c>
      <c r="C44">
        <v>79845055</v>
      </c>
      <c r="D44" t="s">
        <v>162</v>
      </c>
    </row>
    <row r="45" spans="1:4">
      <c r="A45" t="s">
        <v>163</v>
      </c>
      <c r="B45">
        <v>67589064</v>
      </c>
      <c r="C45">
        <v>67589165</v>
      </c>
      <c r="D45" t="s">
        <v>164</v>
      </c>
    </row>
    <row r="46" spans="1:4">
      <c r="A46" t="s">
        <v>163</v>
      </c>
      <c r="B46">
        <v>67589555</v>
      </c>
      <c r="C46">
        <v>67589631</v>
      </c>
      <c r="D46" t="s">
        <v>165</v>
      </c>
    </row>
    <row r="47" spans="1:4">
      <c r="A47" t="s">
        <v>163</v>
      </c>
      <c r="B47">
        <v>67591095</v>
      </c>
      <c r="C47">
        <v>67591169</v>
      </c>
      <c r="D47" t="s">
        <v>166</v>
      </c>
    </row>
    <row r="48" spans="1:4">
      <c r="A48" t="s">
        <v>163</v>
      </c>
      <c r="B48">
        <v>67591211</v>
      </c>
      <c r="C48">
        <v>67591296</v>
      </c>
      <c r="D48" t="s">
        <v>167</v>
      </c>
    </row>
    <row r="49" spans="1:4">
      <c r="A49" t="s">
        <v>69</v>
      </c>
      <c r="B49">
        <v>46107708</v>
      </c>
      <c r="C49">
        <v>46107827</v>
      </c>
      <c r="D49" t="s">
        <v>168</v>
      </c>
    </row>
    <row r="50" spans="1:4">
      <c r="A50" t="s">
        <v>70</v>
      </c>
      <c r="B50">
        <v>45688191</v>
      </c>
      <c r="C50">
        <v>45688307</v>
      </c>
      <c r="D50" t="s">
        <v>169</v>
      </c>
    </row>
    <row r="51" spans="1:4">
      <c r="A51" t="s">
        <v>70</v>
      </c>
      <c r="B51">
        <v>100274943</v>
      </c>
      <c r="C51">
        <v>100275028</v>
      </c>
      <c r="D51" t="s">
        <v>170</v>
      </c>
    </row>
    <row r="52" spans="1:4">
      <c r="A52" t="s">
        <v>70</v>
      </c>
      <c r="B52">
        <v>129125543</v>
      </c>
      <c r="C52">
        <v>129125656</v>
      </c>
      <c r="D52" t="s">
        <v>171</v>
      </c>
    </row>
    <row r="53" spans="1:4">
      <c r="A53" t="s">
        <v>70</v>
      </c>
      <c r="B53">
        <v>140453074</v>
      </c>
      <c r="C53">
        <v>140453149</v>
      </c>
      <c r="D53" t="s">
        <v>172</v>
      </c>
    </row>
    <row r="54" spans="1:4">
      <c r="A54" t="s">
        <v>70</v>
      </c>
      <c r="B54">
        <v>151187995</v>
      </c>
      <c r="C54">
        <v>151188066</v>
      </c>
      <c r="D54" t="s">
        <v>173</v>
      </c>
    </row>
    <row r="55" spans="1:4">
      <c r="A55" t="s">
        <v>174</v>
      </c>
      <c r="B55">
        <v>27180280</v>
      </c>
      <c r="C55">
        <v>27180350</v>
      </c>
      <c r="D55" t="s">
        <v>175</v>
      </c>
    </row>
    <row r="56" spans="1:4">
      <c r="A56" t="s">
        <v>174</v>
      </c>
      <c r="B56">
        <v>27212705</v>
      </c>
      <c r="C56">
        <v>27212794</v>
      </c>
      <c r="D56" t="s">
        <v>176</v>
      </c>
    </row>
    <row r="57" spans="1:4">
      <c r="A57" t="s">
        <v>174</v>
      </c>
      <c r="B57">
        <v>27228260</v>
      </c>
      <c r="C57">
        <v>27228338</v>
      </c>
      <c r="D57" t="s">
        <v>177</v>
      </c>
    </row>
    <row r="58" spans="1:4">
      <c r="A58" t="s">
        <v>174</v>
      </c>
      <c r="B58">
        <v>27229134</v>
      </c>
      <c r="C58">
        <v>27229223</v>
      </c>
      <c r="D58" t="s">
        <v>178</v>
      </c>
    </row>
    <row r="59" spans="1:4">
      <c r="A59" t="s">
        <v>174</v>
      </c>
      <c r="B59">
        <v>29527466</v>
      </c>
      <c r="C59">
        <v>29527620</v>
      </c>
      <c r="D59" t="s">
        <v>221</v>
      </c>
    </row>
    <row r="60" spans="1:4">
      <c r="A60" t="s">
        <v>174</v>
      </c>
      <c r="B60">
        <v>80043865</v>
      </c>
      <c r="C60">
        <v>80043955</v>
      </c>
      <c r="D60" t="s">
        <v>179</v>
      </c>
    </row>
    <row r="61" spans="1:4">
      <c r="A61" t="s">
        <v>174</v>
      </c>
      <c r="B61">
        <v>80409422</v>
      </c>
      <c r="C61">
        <v>80409502</v>
      </c>
      <c r="D61" t="s">
        <v>180</v>
      </c>
    </row>
    <row r="62" spans="1:4">
      <c r="A62" t="s">
        <v>174</v>
      </c>
      <c r="B62">
        <v>80412434</v>
      </c>
      <c r="C62">
        <v>80412543</v>
      </c>
      <c r="D62" t="s">
        <v>181</v>
      </c>
    </row>
    <row r="63" spans="1:4">
      <c r="A63" t="s">
        <v>182</v>
      </c>
      <c r="B63">
        <v>533814</v>
      </c>
      <c r="C63">
        <v>533884</v>
      </c>
      <c r="D63" t="s">
        <v>183</v>
      </c>
    </row>
    <row r="64" spans="1:4">
      <c r="A64" t="s">
        <v>182</v>
      </c>
      <c r="B64">
        <v>534263</v>
      </c>
      <c r="C64">
        <v>534352</v>
      </c>
      <c r="D64" t="s">
        <v>184</v>
      </c>
    </row>
    <row r="65" spans="1:4">
      <c r="A65" t="s">
        <v>71</v>
      </c>
      <c r="B65">
        <v>25378519</v>
      </c>
      <c r="C65">
        <v>25378625</v>
      </c>
      <c r="D65" t="s">
        <v>185</v>
      </c>
    </row>
    <row r="66" spans="1:4">
      <c r="A66" t="s">
        <v>71</v>
      </c>
      <c r="B66">
        <v>25380232</v>
      </c>
      <c r="C66">
        <v>25380302</v>
      </c>
      <c r="D66" t="s">
        <v>186</v>
      </c>
    </row>
    <row r="67" spans="1:4">
      <c r="A67" t="s">
        <v>71</v>
      </c>
      <c r="B67">
        <v>25398231</v>
      </c>
      <c r="C67">
        <v>25398306</v>
      </c>
      <c r="D67" t="s">
        <v>187</v>
      </c>
    </row>
    <row r="68" spans="1:4">
      <c r="A68" t="s">
        <v>71</v>
      </c>
      <c r="B68">
        <v>79842748</v>
      </c>
      <c r="C68">
        <v>79842860</v>
      </c>
      <c r="D68" t="s">
        <v>188</v>
      </c>
    </row>
    <row r="69" spans="1:4">
      <c r="A69" t="s">
        <v>71</v>
      </c>
      <c r="B69">
        <v>112888134</v>
      </c>
      <c r="C69">
        <v>112888212</v>
      </c>
      <c r="D69" t="s">
        <v>189</v>
      </c>
    </row>
    <row r="70" spans="1:4">
      <c r="A70" t="s">
        <v>71</v>
      </c>
      <c r="B70">
        <v>112891020</v>
      </c>
      <c r="C70">
        <v>112891119</v>
      </c>
      <c r="D70" t="s">
        <v>190</v>
      </c>
    </row>
    <row r="71" spans="1:4">
      <c r="A71" t="s">
        <v>71</v>
      </c>
      <c r="B71">
        <v>112926832</v>
      </c>
      <c r="C71">
        <v>112926908</v>
      </c>
      <c r="D71" t="s">
        <v>191</v>
      </c>
    </row>
    <row r="72" spans="1:4">
      <c r="A72" t="s">
        <v>192</v>
      </c>
      <c r="B72">
        <v>105246502</v>
      </c>
      <c r="C72">
        <v>105246575</v>
      </c>
      <c r="D72" t="s">
        <v>193</v>
      </c>
    </row>
    <row r="73" spans="1:4">
      <c r="A73" t="s">
        <v>72</v>
      </c>
      <c r="B73">
        <v>41648253</v>
      </c>
      <c r="C73">
        <v>41648323</v>
      </c>
      <c r="D73" t="s">
        <v>194</v>
      </c>
    </row>
    <row r="74" spans="1:4">
      <c r="A74" t="s">
        <v>72</v>
      </c>
      <c r="B74">
        <v>66727415</v>
      </c>
      <c r="C74">
        <v>66727489</v>
      </c>
      <c r="D74" t="s">
        <v>195</v>
      </c>
    </row>
    <row r="75" spans="1:4">
      <c r="A75" t="s">
        <v>72</v>
      </c>
      <c r="B75">
        <v>66729104</v>
      </c>
      <c r="C75">
        <v>66729176</v>
      </c>
      <c r="D75" t="s">
        <v>196</v>
      </c>
    </row>
    <row r="76" spans="1:4">
      <c r="A76" t="s">
        <v>72</v>
      </c>
      <c r="B76">
        <v>90631757</v>
      </c>
      <c r="C76">
        <v>90631870</v>
      </c>
      <c r="D76" t="s">
        <v>197</v>
      </c>
    </row>
    <row r="77" spans="1:4">
      <c r="A77" t="s">
        <v>73</v>
      </c>
      <c r="B77">
        <v>160460</v>
      </c>
      <c r="C77">
        <v>160559</v>
      </c>
      <c r="D77" t="s">
        <v>198</v>
      </c>
    </row>
    <row r="78" spans="1:4">
      <c r="A78" t="s">
        <v>73</v>
      </c>
      <c r="B78">
        <v>2113012</v>
      </c>
      <c r="C78">
        <v>2113086</v>
      </c>
      <c r="D78" t="s">
        <v>199</v>
      </c>
    </row>
    <row r="79" spans="1:4">
      <c r="A79" t="s">
        <v>73</v>
      </c>
      <c r="B79">
        <v>2114302</v>
      </c>
      <c r="C79">
        <v>2114414</v>
      </c>
      <c r="D79" t="s">
        <v>200</v>
      </c>
    </row>
    <row r="80" spans="1:4">
      <c r="A80" t="s">
        <v>73</v>
      </c>
      <c r="B80">
        <v>2124326</v>
      </c>
      <c r="C80">
        <v>2124426</v>
      </c>
      <c r="D80" t="s">
        <v>201</v>
      </c>
    </row>
    <row r="81" spans="1:4">
      <c r="A81" t="s">
        <v>73</v>
      </c>
      <c r="B81">
        <v>2134566</v>
      </c>
      <c r="C81">
        <v>2134636</v>
      </c>
      <c r="D81" t="s">
        <v>202</v>
      </c>
    </row>
    <row r="82" spans="1:4">
      <c r="A82" t="s">
        <v>73</v>
      </c>
      <c r="B82">
        <v>2138251</v>
      </c>
      <c r="C82">
        <v>2138323</v>
      </c>
      <c r="D82" t="s">
        <v>203</v>
      </c>
    </row>
    <row r="83" spans="1:4">
      <c r="A83" t="s">
        <v>73</v>
      </c>
      <c r="B83">
        <v>29824986</v>
      </c>
      <c r="C83">
        <v>29825073</v>
      </c>
      <c r="D83" t="s">
        <v>204</v>
      </c>
    </row>
    <row r="84" spans="1:4">
      <c r="A84" t="s">
        <v>205</v>
      </c>
      <c r="B84">
        <v>29508483</v>
      </c>
      <c r="C84">
        <v>29508559</v>
      </c>
      <c r="D84" t="s">
        <v>206</v>
      </c>
    </row>
    <row r="85" spans="1:4">
      <c r="A85" t="s">
        <v>205</v>
      </c>
      <c r="B85">
        <v>29665666</v>
      </c>
      <c r="C85">
        <v>29665767</v>
      </c>
      <c r="D85" t="s">
        <v>207</v>
      </c>
    </row>
    <row r="86" spans="1:4">
      <c r="A86" t="s">
        <v>205</v>
      </c>
      <c r="B86">
        <v>61768508</v>
      </c>
      <c r="C86">
        <v>61768607</v>
      </c>
      <c r="D86" t="s">
        <v>208</v>
      </c>
    </row>
    <row r="87" spans="1:4">
      <c r="A87" t="s">
        <v>209</v>
      </c>
      <c r="B87">
        <v>3114949</v>
      </c>
      <c r="C87">
        <v>3115027</v>
      </c>
      <c r="D87" t="s">
        <v>210</v>
      </c>
    </row>
    <row r="88" spans="1:4">
      <c r="A88" t="s">
        <v>209</v>
      </c>
      <c r="B88">
        <v>3118876</v>
      </c>
      <c r="C88">
        <v>3118967</v>
      </c>
      <c r="D88" t="s">
        <v>211</v>
      </c>
    </row>
    <row r="89" spans="1:4">
      <c r="A89" t="s">
        <v>209</v>
      </c>
      <c r="B89">
        <v>40761080</v>
      </c>
      <c r="C89">
        <v>40761157</v>
      </c>
      <c r="D89" t="s">
        <v>212</v>
      </c>
    </row>
    <row r="90" spans="1:4">
      <c r="A90" t="s">
        <v>213</v>
      </c>
      <c r="B90">
        <v>57484388</v>
      </c>
      <c r="C90">
        <v>57484473</v>
      </c>
      <c r="D90" t="s">
        <v>214</v>
      </c>
    </row>
    <row r="91" spans="1:4">
      <c r="A91" t="s">
        <v>215</v>
      </c>
      <c r="B91">
        <v>32193610</v>
      </c>
      <c r="C91">
        <v>32193700</v>
      </c>
      <c r="D91" t="s">
        <v>216</v>
      </c>
    </row>
    <row r="92" spans="1:4">
      <c r="A92" t="s">
        <v>217</v>
      </c>
      <c r="B92">
        <v>47426028</v>
      </c>
      <c r="C92">
        <v>47426132</v>
      </c>
      <c r="D92" t="s">
        <v>218</v>
      </c>
    </row>
    <row r="93" spans="1:4">
      <c r="A93" t="s">
        <v>217</v>
      </c>
      <c r="B93">
        <v>48762157</v>
      </c>
      <c r="C93">
        <v>48762250</v>
      </c>
      <c r="D93" t="s">
        <v>219</v>
      </c>
    </row>
    <row r="94" spans="1:4">
      <c r="A94" t="s">
        <v>217</v>
      </c>
      <c r="B94">
        <v>48762274</v>
      </c>
      <c r="C94">
        <v>48762375</v>
      </c>
      <c r="D94" t="s">
        <v>220</v>
      </c>
    </row>
  </sheetData>
  <sortState ref="G1:G96">
    <sortCondition ref="G1:G9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1BF6-12FE-E241-BEA4-715C6FEDBE63}">
  <dimension ref="A1:F37"/>
  <sheetViews>
    <sheetView tabSelected="1" workbookViewId="0">
      <selection activeCell="G34" sqref="G34"/>
    </sheetView>
  </sheetViews>
  <sheetFormatPr baseColWidth="10" defaultRowHeight="16"/>
  <cols>
    <col min="1" max="1" width="14.83203125" customWidth="1"/>
    <col min="2" max="2" width="20.83203125" customWidth="1"/>
    <col min="3" max="3" width="17" bestFit="1" customWidth="1"/>
    <col min="4" max="4" width="12.5" customWidth="1"/>
    <col min="5" max="5" width="12.6640625" customWidth="1"/>
  </cols>
  <sheetData>
    <row r="1" spans="1:6">
      <c r="A1" s="22" t="s">
        <v>267</v>
      </c>
      <c r="B1" s="22" t="s">
        <v>263</v>
      </c>
      <c r="C1" s="22" t="s">
        <v>264</v>
      </c>
      <c r="D1" s="22" t="s">
        <v>265</v>
      </c>
      <c r="E1" s="22" t="s">
        <v>266</v>
      </c>
      <c r="F1" s="22" t="s">
        <v>333</v>
      </c>
    </row>
    <row r="2" spans="1:6">
      <c r="A2">
        <v>1</v>
      </c>
      <c r="B2">
        <v>243859016</v>
      </c>
      <c r="C2" t="s">
        <v>249</v>
      </c>
      <c r="D2" t="s">
        <v>245</v>
      </c>
      <c r="E2" t="s">
        <v>240</v>
      </c>
      <c r="F2">
        <v>0.04</v>
      </c>
    </row>
    <row r="3" spans="1:6">
      <c r="A3">
        <v>3</v>
      </c>
      <c r="B3">
        <v>53777069</v>
      </c>
      <c r="C3" t="s">
        <v>253</v>
      </c>
      <c r="D3" t="s">
        <v>242</v>
      </c>
      <c r="E3" t="s">
        <v>239</v>
      </c>
      <c r="F3">
        <v>4.2000000000000003E-2</v>
      </c>
    </row>
    <row r="4" spans="1:6">
      <c r="A4">
        <v>2</v>
      </c>
      <c r="B4">
        <v>209113113</v>
      </c>
      <c r="C4" t="s">
        <v>250</v>
      </c>
      <c r="D4" t="s">
        <v>242</v>
      </c>
      <c r="E4" t="s">
        <v>239</v>
      </c>
      <c r="F4">
        <v>2.1000000000000001E-2</v>
      </c>
    </row>
    <row r="5" spans="1:6">
      <c r="A5">
        <v>3</v>
      </c>
      <c r="B5">
        <v>12613838</v>
      </c>
      <c r="C5" t="s">
        <v>252</v>
      </c>
      <c r="D5" t="s">
        <v>245</v>
      </c>
      <c r="E5" t="s">
        <v>239</v>
      </c>
      <c r="F5">
        <v>9.0000000000000011E-3</v>
      </c>
    </row>
    <row r="6" spans="1:6">
      <c r="A6">
        <v>1</v>
      </c>
      <c r="B6">
        <v>11217231</v>
      </c>
      <c r="C6" t="s">
        <v>246</v>
      </c>
      <c r="D6" t="s">
        <v>239</v>
      </c>
      <c r="E6" t="s">
        <v>242</v>
      </c>
      <c r="F6">
        <v>4.2000000000000003E-2</v>
      </c>
    </row>
    <row r="7" spans="1:6">
      <c r="A7">
        <v>1</v>
      </c>
      <c r="B7">
        <v>11189845</v>
      </c>
      <c r="C7" t="s">
        <v>244</v>
      </c>
      <c r="D7" t="s">
        <v>242</v>
      </c>
      <c r="E7" t="s">
        <v>245</v>
      </c>
      <c r="F7">
        <v>1.7000000000000001E-2</v>
      </c>
    </row>
    <row r="8" spans="1:6">
      <c r="A8">
        <v>1</v>
      </c>
      <c r="B8">
        <v>11188164</v>
      </c>
      <c r="C8" t="s">
        <v>243</v>
      </c>
      <c r="D8" t="s">
        <v>242</v>
      </c>
      <c r="E8" t="s">
        <v>240</v>
      </c>
      <c r="F8">
        <v>3.7000000000000005E-2</v>
      </c>
    </row>
    <row r="9" spans="1:6">
      <c r="A9">
        <v>1</v>
      </c>
      <c r="B9">
        <v>11184574</v>
      </c>
      <c r="C9" t="s">
        <v>241</v>
      </c>
      <c r="D9" t="s">
        <v>239</v>
      </c>
      <c r="E9" t="s">
        <v>242</v>
      </c>
      <c r="F9">
        <v>1.3999999999999999E-2</v>
      </c>
    </row>
    <row r="10" spans="1:6">
      <c r="A10">
        <v>1</v>
      </c>
      <c r="B10">
        <v>11169376</v>
      </c>
      <c r="C10" t="s">
        <v>238</v>
      </c>
      <c r="D10" t="s">
        <v>239</v>
      </c>
      <c r="E10" t="s">
        <v>240</v>
      </c>
      <c r="F10">
        <v>1.4999999999999999E-2</v>
      </c>
    </row>
    <row r="11" spans="1:6">
      <c r="A11">
        <v>1</v>
      </c>
      <c r="B11">
        <v>115256529</v>
      </c>
      <c r="C11" t="s">
        <v>247</v>
      </c>
      <c r="D11" t="s">
        <v>240</v>
      </c>
      <c r="E11" t="s">
        <v>245</v>
      </c>
      <c r="F11">
        <v>3.7000000000000005E-2</v>
      </c>
    </row>
    <row r="12" spans="1:6">
      <c r="A12">
        <v>2</v>
      </c>
      <c r="B12">
        <v>226447702</v>
      </c>
      <c r="C12" t="s">
        <v>251</v>
      </c>
      <c r="D12" t="s">
        <v>245</v>
      </c>
      <c r="E12" t="s">
        <v>239</v>
      </c>
      <c r="F12">
        <v>1.1000000000000001E-2</v>
      </c>
    </row>
    <row r="13" spans="1:6">
      <c r="A13">
        <v>4</v>
      </c>
      <c r="B13">
        <v>79845024</v>
      </c>
      <c r="C13" t="s">
        <v>261</v>
      </c>
      <c r="D13" t="s">
        <v>245</v>
      </c>
      <c r="E13" t="s">
        <v>239</v>
      </c>
      <c r="F13">
        <v>1.3000000000000001E-2</v>
      </c>
    </row>
    <row r="14" spans="1:6">
      <c r="A14">
        <v>1</v>
      </c>
      <c r="B14">
        <v>144916728</v>
      </c>
      <c r="C14" t="s">
        <v>248</v>
      </c>
      <c r="D14" t="s">
        <v>245</v>
      </c>
      <c r="E14" t="s">
        <v>240</v>
      </c>
      <c r="F14">
        <v>8.0000000000000002E-3</v>
      </c>
    </row>
    <row r="15" spans="1:6">
      <c r="A15">
        <v>3</v>
      </c>
      <c r="B15">
        <v>178921553</v>
      </c>
      <c r="C15" t="s">
        <v>254</v>
      </c>
      <c r="D15" t="s">
        <v>240</v>
      </c>
      <c r="E15" t="s">
        <v>239</v>
      </c>
      <c r="F15">
        <v>3.1E-2</v>
      </c>
    </row>
    <row r="16" spans="1:6">
      <c r="A16">
        <v>3</v>
      </c>
      <c r="B16">
        <v>178927980</v>
      </c>
      <c r="C16" t="s">
        <v>255</v>
      </c>
      <c r="D16" t="s">
        <v>240</v>
      </c>
      <c r="E16" t="s">
        <v>245</v>
      </c>
      <c r="F16">
        <v>1.1000000000000001E-2</v>
      </c>
    </row>
    <row r="17" spans="1:6">
      <c r="A17">
        <v>3</v>
      </c>
      <c r="B17">
        <v>178928079</v>
      </c>
      <c r="C17" t="s">
        <v>256</v>
      </c>
      <c r="D17" t="s">
        <v>242</v>
      </c>
      <c r="E17" t="s">
        <v>239</v>
      </c>
      <c r="F17">
        <v>1.8000000000000002E-2</v>
      </c>
    </row>
    <row r="18" spans="1:6">
      <c r="A18">
        <v>3</v>
      </c>
      <c r="B18">
        <v>178936082</v>
      </c>
      <c r="C18" t="s">
        <v>257</v>
      </c>
      <c r="D18" t="s">
        <v>242</v>
      </c>
      <c r="E18" t="s">
        <v>239</v>
      </c>
      <c r="F18">
        <v>6.0000000000000001E-3</v>
      </c>
    </row>
    <row r="19" spans="1:6">
      <c r="A19">
        <v>3</v>
      </c>
      <c r="B19">
        <v>178936092</v>
      </c>
      <c r="C19" t="s">
        <v>259</v>
      </c>
      <c r="D19" t="s">
        <v>239</v>
      </c>
      <c r="E19" t="s">
        <v>242</v>
      </c>
      <c r="F19">
        <v>2.1000000000000001E-2</v>
      </c>
    </row>
    <row r="20" spans="1:6">
      <c r="A20">
        <v>3</v>
      </c>
      <c r="B20">
        <v>178936091</v>
      </c>
      <c r="C20" t="s">
        <v>258</v>
      </c>
      <c r="D20" t="s">
        <v>242</v>
      </c>
      <c r="E20" t="s">
        <v>239</v>
      </c>
      <c r="F20">
        <v>1.9E-2</v>
      </c>
    </row>
    <row r="21" spans="1:6">
      <c r="A21">
        <v>3</v>
      </c>
      <c r="B21">
        <v>178952085</v>
      </c>
      <c r="C21" t="s">
        <v>260</v>
      </c>
      <c r="D21" t="s">
        <v>239</v>
      </c>
      <c r="E21" t="s">
        <v>242</v>
      </c>
      <c r="F21">
        <v>6.0000000000000001E-3</v>
      </c>
    </row>
    <row r="22" spans="1:6">
      <c r="A22">
        <v>12</v>
      </c>
      <c r="B22">
        <v>112926899</v>
      </c>
      <c r="C22" t="s">
        <v>262</v>
      </c>
      <c r="D22" t="s">
        <v>239</v>
      </c>
      <c r="E22" t="s">
        <v>242</v>
      </c>
      <c r="F22">
        <v>5.9000000000000004E-2</v>
      </c>
    </row>
    <row r="23" spans="1:6">
      <c r="F23" s="18"/>
    </row>
    <row r="24" spans="1:6">
      <c r="F24" s="18"/>
    </row>
    <row r="25" spans="1:6">
      <c r="F25" s="18"/>
    </row>
    <row r="28" spans="1:6">
      <c r="B28" s="16"/>
      <c r="C28" s="19"/>
      <c r="E28" s="16"/>
    </row>
    <row r="35" spans="2:5">
      <c r="B35" s="1"/>
      <c r="C35" s="1"/>
      <c r="D35" s="1"/>
      <c r="E35" s="1"/>
    </row>
    <row r="36" spans="2:5">
      <c r="B36" s="13"/>
      <c r="C36" s="13"/>
      <c r="D36" s="13"/>
      <c r="E36" s="13"/>
    </row>
    <row r="37" spans="2:5">
      <c r="B37" s="1"/>
      <c r="C37" s="1"/>
      <c r="D37" s="1"/>
      <c r="E37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synthetic_sample_mix</vt:lpstr>
      <vt:lpstr>oligo_sequences</vt:lpstr>
      <vt:lpstr>xGen_design_v3</vt:lpstr>
      <vt:lpstr>vcf_vaf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Asbjørn Holmgren</dc:creator>
  <cp:lastModifiedBy>Asbjørn Holmgren</cp:lastModifiedBy>
  <dcterms:created xsi:type="dcterms:W3CDTF">2025-08-01T12:59:36Z</dcterms:created>
  <dcterms:modified xsi:type="dcterms:W3CDTF">2026-01-13T14:01:04Z</dcterms:modified>
</cp:coreProperties>
</file>